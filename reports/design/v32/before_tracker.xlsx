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5d3e7efc7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6b51548893c4820"/>
    <x:sheet xmlns:r="http://schemas.openxmlformats.org/officeDocument/2006/relationships" name="Guide" sheetId="2" r:id="R057d1adda9ba4d72"/>
    <x:sheet xmlns:r="http://schemas.openxmlformats.org/officeDocument/2006/relationships" name="Waves" sheetId="3" r:id="Re98c1eb505e541e7"/>
    <x:sheet xmlns:r="http://schemas.openxmlformats.org/officeDocument/2006/relationships" name="Stories" sheetId="4" r:id="R257aaa2ebf2b4c86"/>
    <x:sheet xmlns:r="http://schemas.openxmlformats.org/officeDocument/2006/relationships" name="Tasks" sheetId="5" r:id="R111c27d97d1d477a"/>
    <x:sheet xmlns:r="http://schemas.openxmlformats.org/officeDocument/2006/relationships" name="Gates" sheetId="6" r:id="R0eee48c3b9064e96"/>
    <x:sheet xmlns:r="http://schemas.openxmlformats.org/officeDocument/2006/relationships" name="Requirements" sheetId="7" r:id="Rb4e1fb12ab9a4b06"/>
    <x:sheet xmlns:r="http://schemas.openxmlformats.org/officeDocument/2006/relationships" name="Content" sheetId="8" r:id="R9928936d11ee4ce0"/>
    <x:sheet xmlns:r="http://schemas.openxmlformats.org/officeDocument/2006/relationships" name="QA" sheetId="9" r:id="R81192eefc53a40c6"/>
    <x:sheet xmlns:r="http://schemas.openxmlformats.org/officeDocument/2006/relationships" name="Risks" sheetId="10" r:id="R628561824bf240c5"/>
    <x:sheet xmlns:r="http://schemas.openxmlformats.org/officeDocument/2006/relationships" name="Permissions" sheetId="11" r:id="R72a84466979a4e37"/>
    <x:sheet xmlns:r="http://schemas.openxmlformats.org/officeDocument/2006/relationships" name="Sources" sheetId="12" r:id="R2f90876596b74e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17"/>
      <x:color rgb="FFFFFFFF"/>
      <x:name val="Carlito"/>
    </x:font>
    <x:font>
      <x:sz val="10"/>
      <x:color rgb="FF5A6D79"/>
      <x:name val="Carlito"/>
    </x:font>
    <x:font>
      <x:sz val="10"/>
      <x:color rgb="FF172C3A"/>
      <x:name val="Carlito"/>
    </x:font>
    <x:font>
      <x:b/>
      <x:sz val="10"/>
      <x:color rgb="FFFFFFFF"/>
      <x:name val="Carlito"/>
    </x:font>
    <x:font>
      <x:sz val="11"/>
      <x:color rgb="FF172C3A"/>
      <x:name val="Carlito"/>
    </x:font>
    <x:font>
      <x:b/>
      <x:sz val="22"/>
      <x:color rgb="FFFFFFFF"/>
      <x:name val="Carlito"/>
    </x:font>
    <x:font>
      <x:b/>
      <x:sz val="28"/>
      <x:color rgb="FF172C3A"/>
      <x:name val="Carlito"/>
    </x:font>
    <x:font>
      <x:b/>
      <x:sz val="11"/>
      <x:color rgb="FF172C3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C3A"/>
      </x:patternFill>
    </x:fill>
    <x:fill>
      <x:patternFill patternType="solid">
        <x:fgColor rgb="FF146D78"/>
      </x:patternFill>
    </x:fill>
    <x:fill>
      <x:patternFill patternType="solid">
        <x:fgColor rgb="FFF3F7F9"/>
      </x:patternFill>
    </x:fill>
    <x:fill>
      <x:patternFill patternType="solid">
        <x:fgColor rgb="FFFFF2D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4" borderId="0" xfId="0" applyNumberFormat="1" applyFont="1" applyFill="1" applyBorder="1"/>
    <x:xf numFmtId="0" fontId="7" fillId="4" borderId="0" xfId="0" applyNumberFormat="1" applyFont="1" applyFill="1" applyBorder="1"/>
    <x:xf numFmtId="0" fontId="5" fillId="4" borderId="1" xfId="0" applyNumberFormat="1" applyFont="1" applyFill="1" applyBorder="1"/>
    <x:xf numFmtId="0" fontId="7" fillId="4" borderId="1" xfId="0" applyNumberFormat="1" applyFont="1" applyFill="1" applyBorder="1"/>
    <x:xf numFmtId="200" fontId="7" fillId="4" borderId="0" xfId="0" applyNumberFormat="1" applyFont="1" applyFill="1" applyBorder="1"/>
    <x:xf numFmtId="200" fontId="7" fillId="4" borderId="1" xfId="0" applyNumberFormat="1" applyFont="1" applyFill="1" applyBorder="1"/>
    <x:xf numFmtId="0" fontId="5" fillId="5" borderId="0" xfId="0" applyNumberFormat="1" applyFont="1" applyFill="1" applyBorder="1"/>
    <x:xf numFmtId="0" fontId="8" fillId="5" borderId="0" xfId="0" applyNumberFormat="1" applyFont="1" applyFill="1" applyBorder="1"/>
    <x:xf numFmtId="0" fontId="5" fillId="5" borderId="1" xfId="0" applyNumberFormat="1" applyFont="1" applyFill="1" applyBorder="1"/>
    <x:xf numFmtId="0" fontId="8" fillId="5" borderId="1" xfId="0" applyNumberFormat="1" applyFont="1" applyFill="1" applyBorder="1"/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</x:cellXfs>
  <x:cellStyles count="1">
    <x:cellStyle name="Normal" xfId="0"/>
  </x:cellStyles>
  <x:dxfs count="2">
    <x:dxf>
      <x:fill>
        <x:patternFill>
          <x:bgColor rgb="FFE2F3EC"/>
        </x:patternFill>
      </x:fill>
    </x:dxf>
    <x:dxf>
      <x:fill>
        <x:patternFill>
          <x:bgColor rgb="FFFFF2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522c4faf84dd6" /><Relationship Type="http://schemas.openxmlformats.org/officeDocument/2006/relationships/theme" Target="/xl/theme/theme1.xml" Id="Rf9ef3ad0875944ca" /><Relationship Type="http://schemas.openxmlformats.org/officeDocument/2006/relationships/sharedStrings" Target="/xl/sharedStrings.xml" Id="R6a1d6885851f49ad" /><Relationship Type="http://schemas.openxmlformats.org/officeDocument/2006/relationships/worksheet" Target="/xl/worksheets/sheet1.xml" Id="Rb6b51548893c4820" /><Relationship Type="http://schemas.openxmlformats.org/officeDocument/2006/relationships/worksheet" Target="/xl/worksheets/sheet2.xml" Id="R057d1adda9ba4d72" /><Relationship Type="http://schemas.openxmlformats.org/officeDocument/2006/relationships/worksheet" Target="/xl/worksheets/sheet3.xml" Id="Re98c1eb505e541e7" /><Relationship Type="http://schemas.openxmlformats.org/officeDocument/2006/relationships/worksheet" Target="/xl/worksheets/sheet4.xml" Id="R257aaa2ebf2b4c86" /><Relationship Type="http://schemas.openxmlformats.org/officeDocument/2006/relationships/worksheet" Target="/xl/worksheets/sheet5.xml" Id="R111c27d97d1d477a" /><Relationship Type="http://schemas.openxmlformats.org/officeDocument/2006/relationships/worksheet" Target="/xl/worksheets/sheet6.xml" Id="R0eee48c3b9064e96" /><Relationship Type="http://schemas.openxmlformats.org/officeDocument/2006/relationships/worksheet" Target="/xl/worksheets/sheet7.xml" Id="Rb4e1fb12ab9a4b06" /><Relationship Type="http://schemas.openxmlformats.org/officeDocument/2006/relationships/worksheet" Target="/xl/worksheets/sheet8.xml" Id="R9928936d11ee4ce0" /><Relationship Type="http://schemas.openxmlformats.org/officeDocument/2006/relationships/worksheet" Target="/xl/worksheets/sheet9.xml" Id="R81192eefc53a40c6" /><Relationship Type="http://schemas.openxmlformats.org/officeDocument/2006/relationships/worksheet" Target="/xl/worksheets/sheet10.xml" Id="R628561824bf240c5" /><Relationship Type="http://schemas.openxmlformats.org/officeDocument/2006/relationships/worksheet" Target="/xl/worksheets/sheet11.xml" Id="R72a84466979a4e37" /><Relationship Type="http://schemas.openxmlformats.org/officeDocument/2006/relationships/worksheet" Target="/xl/worksheets/sheet12.xml" Id="R2f90876596b74e46" /></Relationships>
</file>

<file path=xl/tables/table1.xml><?xml version="1.0" encoding="utf-8"?>
<x:table xmlns:x="http://schemas.openxmlformats.org/spreadsheetml/2006/main" id="11" name="AgentGuideTable" displayName="AgentGuideTable" ref="A4:B16" headerRowCount="1" totalsRowCount="0" totalsRowShown="0">
  <x:tableColumns count="2">
    <x:tableColumn id="1" name="Section"/>
    <x:tableColumn id="2" name="Instru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AgentWavesTable" displayName="AgentWavesTable" ref="A4:I40" headerRowCount="1" totalsRowCount="0" totalsRowShown="0">
  <x:tableColumns count="9">
    <x:tableColumn id="1" name="Wave"/>
    <x:tableColumn id="2" name="Phase"/>
    <x:tableColumn id="3" name="Title"/>
    <x:tableColumn id="4" name="Exit outcome"/>
    <x:tableColumn id="5" name="Tasks"/>
    <x:tableColumn id="6" name="Done"/>
    <x:tableColumn id="7" name="Done / total"/>
    <x:tableColumn id="8" name="Gate"/>
    <x:tableColumn id="9" name="Stori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gentStoriesTable" displayName="AgentStoriesTable" ref="A4:I150" headerRowCount="1" totalsRowCount="0" totalsRowShown="0">
  <x:tableColumns count="9">
    <x:tableColumn id="1" name="Story ID"/>
    <x:tableColumn id="2" name="Wave"/>
    <x:tableColumn id="3" name="Title"/>
    <x:tableColumn id="4" name="Outcome"/>
    <x:tableColumn id="5" name="Dependencies"/>
    <x:tableColumn id="6" name="Tasks"/>
    <x:tableColumn id="7" name="Done"/>
    <x:tableColumn id="8" name="Done / total"/>
    <x:tableColumn id="9" name="Requiremen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AgentTasksTable" displayName="AgentTasksTable" ref="A4:M602" headerRowCount="1" totalsRowCount="0" totalsRowShown="0">
  <x:tableColumns count="13">
    <x:tableColumn id="1" name="Task ID"/>
    <x:tableColumn id="2" name="Wave"/>
    <x:tableColumn id="3" name="Story"/>
    <x:tableColumn id="4" name="Agent mode"/>
    <x:tableColumn id="5" name="Task / outcome"/>
    <x:tableColumn id="6" name="Status"/>
    <x:tableColumn id="7" name="Dependencies"/>
    <x:tableColumn id="8" name="Required outputs"/>
    <x:tableColumn id="9" name="Verification kinds"/>
    <x:tableColumn id="10" name="Complexity"/>
    <x:tableColumn id="11" name="Evidence path"/>
    <x:tableColumn id="12" name="Full task card"/>
    <x:tableColumn id="13" name="Permis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AgentGatesTable" displayName="AgentGatesTable" ref="A4:G14" headerRowCount="1" totalsRowCount="0" totalsRowShown="0">
  <x:tableColumns count="7">
    <x:tableColumn id="1" name="Gate"/>
    <x:tableColumn id="2" name="Wave"/>
    <x:tableColumn id="3" name="Title"/>
    <x:tableColumn id="4" name="Criteria"/>
    <x:tableColumn id="5" name="Reviewer mode"/>
    <x:tableColumn id="6" name="External owner?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AgentRequirementsTable" displayName="AgentRequirementsTable" ref="A4:F22" headerRowCount="1" totalsRowCount="0" totalsRowShown="0">
  <x:tableColumns count="6">
    <x:tableColumn id="1" name="Requirement"/>
    <x:tableColumn id="2" name="Title"/>
    <x:tableColumn id="3" name="Acceptance"/>
    <x:tableColumn id="4" name="Gates"/>
    <x:tableColumn id="5" name="Stories"/>
    <x:tableColumn id="6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AgentContentTable" displayName="AgentContentTable" ref="A4:J11" headerRowCount="1" totalsRowCount="0" totalsRowShown="0">
  <x:tableColumns count="10">
    <x:tableColumn id="1" name="Chapter"/>
    <x:tableColumn id="2" name="House"/>
    <x:tableColumn id="3" name="Title"/>
    <x:tableColumn id="4" name="Zone"/>
    <x:tableColumn id="5" name="Puzzles"/>
    <x:tableColumn id="6" name="Memory"/>
    <x:tableColumn id="7" name="Main evidence"/>
    <x:tableColumn id="8" name="Greybox"/>
    <x:tableColumn id="9" name="Complete"/>
    <x:tableColumn id="10" name="Exit condi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AgentQATable" displayName="AgentQATable" ref="A4:H47" headerRowCount="1" totalsRowCount="0" totalsRowShown="0">
  <x:tableColumns count="8">
    <x:tableColumn id="1" name="QA ID"/>
    <x:tableColumn id="2" name="Area"/>
    <x:tableColumn id="3" name="Scenario"/>
    <x:tableColumn id="4" name="Expected"/>
    <x:tableColumn id="5" name="Verification mode"/>
    <x:tableColumn id="6" name="First wave"/>
    <x:tableColumn id="7" name="Gate"/>
    <x:tableColumn id="8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AgentRisksTable" displayName="AgentRisksTable" ref="A4:F20" headerRowCount="1" totalsRowCount="0" totalsRowShown="0">
  <x:tableColumns count="6">
    <x:tableColumn id="1" name="Risk ID"/>
    <x:tableColumn id="2" name="Risk"/>
    <x:tableColumn id="3" name="Trigger"/>
    <x:tableColumn id="4" name="Mode responsible"/>
    <x:tableColumn id="5" name="Mitigation"/>
    <x:tableColumn id="6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gentPermissionsTable" displayName="AgentPermissionsTable" ref="A4:E12" headerRowCount="1" totalsRowCount="0" totalsRowShown="0">
  <x:tableColumns count="5">
    <x:tableColumn id="1" name="Operation"/>
    <x:tableColumn id="2" name="Default"/>
    <x:tableColumn id="3" name="Required behavior"/>
    <x:tableColumn id="4" name="Source contract"/>
    <x:tableColumn id="5" name="Owner neede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9" name="AgentSourcesTable" displayName="AgentSourcesTable" ref="A4:E12" headerRowCount="1" totalsRowCount="0" totalsRowShown="0">
  <x:tableColumns count="5">
    <x:tableColumn id="1" name="Source"/>
    <x:tableColumn id="2" name="Title"/>
    <x:tableColumn id="3" name="URL"/>
    <x:tableColumn id="4" name="Checked"/>
    <x:tableColumn id="5" name="U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d3b5f72ebb41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79ea1c1c8147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ca7a1482e74c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60db1fea8247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e8517b28734a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470d540d7f4d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769c9423e944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ba8912ca4442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fa2ace3fa4741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608b4022180457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357251954be4b6b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1" customHeight="1">
      <x:c r="A1" s="28" t="str">
        <x:v>NGÔI NHÀ THỨ BẢY
AGENT EXECUTION / 3.1</x:v>
      </x:c>
      <x:c r="B1" s="28"/>
      <x:c r="C1" s="28"/>
      <x:c r="D1" s="28"/>
      <x:c r="E1" s="28"/>
      <x:c r="F1" s="28"/>
      <x:c r="G1" s="28"/>
      <x:c r="H1" s="28"/>
    </x:row>
    <x:row r="2" ht="31" customHeight="1">
      <x:c r="A2" s="28"/>
      <x:c r="B2" s="28"/>
      <x:c r="C2" s="28"/>
      <x:c r="D2" s="28"/>
      <x:c r="E2" s="28"/>
      <x:c r="F2" s="28"/>
      <x:c r="G2" s="28"/>
      <x:c r="H2" s="28"/>
    </x:row>
    <x:row r="3" ht="27" customHeight="1">
      <x:c r="A3" s="6" t="str">
        <x:v>36 execution waves; canonical state revision 60; task states preserved during design migration.</x:v>
      </x:c>
      <x:c r="B3" s="6"/>
      <x:c r="C3" s="6"/>
      <x:c r="D3" s="6"/>
      <x:c r="E3" s="6"/>
      <x:c r="F3" s="6"/>
      <x:c r="G3" s="6"/>
      <x:c r="H3" s="6"/>
    </x:row>
    <x:row r="4" ht="24" customHeight="1">
      <x:c r="A4" s="24"/>
      <x:c r="B4" s="24"/>
      <x:c r="C4" s="24"/>
      <x:c r="D4" s="24"/>
      <x:c r="E4" s="24"/>
      <x:c r="F4" s="24"/>
      <x:c r="G4" s="24"/>
      <x:c r="H4" s="24"/>
    </x:row>
    <x:row r="5" ht="25" customHeight="1">
      <x:c r="A5" s="17" t="str">
        <x:v>TOTAL TASKS</x:v>
      </x:c>
      <x:c r="B5" s="17"/>
      <x:c r="C5" s="17" t="str">
        <x:v>VERIFIED DONE</x:v>
      </x:c>
      <x:c r="D5" s="17"/>
      <x:c r="E5" s="17" t="str">
        <x:v>BLOCKED</x:v>
      </x:c>
      <x:c r="F5" s="17"/>
      <x:c r="G5" s="17" t="str">
        <x:v>DONE / TOTAL</x:v>
      </x:c>
      <x:c r="H5" s="17"/>
    </x:row>
    <x:row r="6" ht="28" customHeight="1">
      <x:c r="A6" s="35" t="n">
        <x:f>COUNTA(Tasks!A5:A602)</x:f>
        <x:v>598</x:v>
      </x:c>
      <x:c r="B6" s="35"/>
      <x:c r="C6" s="35" t="n">
        <x:f>COUNTIF(Tasks!F5:F602,"DONE")</x:f>
        <x:v>19</x:v>
      </x:c>
      <x:c r="D6" s="35"/>
      <x:c r="E6" s="35" t="n">
        <x:f>COUNTIF(Tasks!F5:F602,"BLOCKED*")</x:f>
        <x:v>0</x:v>
      </x:c>
      <x:c r="F6" s="35"/>
      <x:c r="G6" s="38" t="n">
        <x:f>IFERROR(C6/A6,0)</x:f>
        <x:v>0.03177257525083612</x:v>
      </x:c>
      <x:c r="H6" s="35"/>
    </x:row>
    <x:row r="7" ht="28" customHeight="1">
      <x:c r="A7" s="35"/>
      <x:c r="B7" s="35"/>
      <x:c r="C7" s="35"/>
      <x:c r="D7" s="35"/>
      <x:c r="E7" s="35"/>
      <x:c r="F7" s="35"/>
      <x:c r="G7" s="35"/>
      <x:c r="H7" s="35"/>
    </x:row>
    <x:row r="8" ht="24" customHeight="1">
      <x:c r="A8" s="24"/>
      <x:c r="B8" s="24"/>
      <x:c r="C8" s="24"/>
      <x:c r="D8" s="24"/>
      <x:c r="E8" s="24"/>
      <x:c r="F8" s="24"/>
      <x:c r="G8" s="24"/>
      <x:c r="H8" s="24"/>
    </x:row>
    <x:row r="9" ht="32" customHeight="1">
      <x:c r="A9" s="41" t="str">
        <x:v>PROJECT STATE: IN_PROGRESS; gameplay3.1 is a design baseline, campaign puzzles not implemented.</x:v>
      </x:c>
      <x:c r="B9" s="41"/>
      <x:c r="C9" s="41"/>
      <x:c r="D9" s="41"/>
      <x:c r="E9" s="41"/>
      <x:c r="F9" s="41"/>
      <x:c r="G9" s="41"/>
      <x:c r="H9" s="41"/>
    </x:row>
    <x:row r="10" ht="24" customHeight="1">
      <x:c r="A10" s="24"/>
      <x:c r="B10" s="24"/>
      <x:c r="C10" s="24"/>
      <x:c r="D10" s="24"/>
      <x:c r="E10" s="24"/>
      <x:c r="F10" s="24"/>
      <x:c r="G10" s="24"/>
      <x:c r="H10" s="24"/>
    </x:row>
    <x:row r="11" ht="28" customHeight="1">
      <x:c r="A11" s="44" t="str">
        <x:v>EXECUTION CONTRACT</x:v>
      </x:c>
      <x:c r="B11" s="44"/>
      <x:c r="C11" s="44"/>
      <x:c r="D11" s="44"/>
      <x:c r="E11" s="44" t="str">
        <x:v>SCOPE / REQUIRED DELIVERY</x:v>
      </x:c>
      <x:c r="F11" s="44"/>
      <x:c r="G11" s="44"/>
      <x:c r="H11" s="44"/>
    </x:row>
    <x:row r="12" ht="34" customHeight="1">
      <x:c r="A12" s="47" t="str">
        <x:v>Đọc AGENTS.md và task card trước khi sửa source.</x:v>
      </x:c>
      <x:c r="B12" s="47"/>
      <x:c r="C12" s="47"/>
      <x:c r="D12" s="47"/>
      <x:c r="E12" s="47" t="str">
        <x:v>7 chương / 7 đêm / 7 căn nhà</x:v>
      </x:c>
      <x:c r="F12" s="47"/>
      <x:c r="G12" s="47"/>
      <x:c r="H12" s="47"/>
    </x:row>
    <x:row r="13" ht="34" customHeight="1">
      <x:c r="A13" s="47" t="str">
        <x:v>1 agent tuần tự; các mode không phải đội nhân sự.</x:v>
      </x:c>
      <x:c r="B13" s="47"/>
      <x:c r="C13" s="47"/>
      <x:c r="D13" s="47"/>
      <x:c r="E13" s="47" t="str">
        <x:v>28 puzzles: 14 CORE + 7 SUPPORT + 7 SECRET</x:v>
      </x:c>
      <x:c r="F13" s="47"/>
      <x:c r="G13" s="47"/>
      <x:c r="H13" s="47"/>
    </x:row>
    <x:row r="14" ht="34" customHeight="1">
      <x:c r="A14" s="47" t="str">
        <x:v>Task Ready = dependencies + hard gate đạt yêu cầu.</x:v>
      </x:c>
      <x:c r="B14" s="47"/>
      <x:c r="C14" s="47"/>
      <x:c r="D14" s="47"/>
      <x:c r="E14" s="47" t="str">
        <x:v>28 journal records + cả 3 ending</x:v>
      </x:c>
      <x:c r="F14" s="47"/>
      <x:c r="G14" s="47"/>
      <x:c r="H14" s="47"/>
    </x:row>
    <x:row r="15" ht="34" customHeight="1">
      <x:c r="A15" s="47" t="str">
        <x:v>DONE cần output thật, verification và review.</x:v>
      </x:c>
      <x:c r="B15" s="47"/>
      <x:c r="C15" s="47"/>
      <x:c r="D15" s="47"/>
      <x:c r="E15" s="47" t="str">
        <x:v>2.5D / REAL ↔ ERASED / Godot</x:v>
      </x:c>
      <x:c r="F15" s="47"/>
      <x:c r="G15" s="47"/>
      <x:c r="H15" s="47"/>
    </x:row>
    <x:row r="16" ht="34" customHeight="1">
      <x:c r="A16" s="47" t="str">
        <x:v>Headless pass không xác nhận hình ảnh/âm thanh.</x:v>
      </x:c>
      <x:c r="B16" s="47"/>
      <x:c r="C16" s="47"/>
      <x:c r="D16" s="47"/>
      <x:c r="E16" s="47" t="str">
        <x:v>Art, animation, audio, UI và VI/EN do agent làm</x:v>
      </x:c>
      <x:c r="F16" s="47"/>
      <x:c r="G16" s="47"/>
      <x:c r="H16" s="47"/>
    </x:row>
    <x:row r="17" ht="34" customHeight="1">
      <x:c r="A17" s="47" t="str">
        <x:v>Không có ETA theo giờ người hoặc lịch freelancer.</x:v>
      </x:c>
      <x:c r="B17" s="47"/>
      <x:c r="C17" s="47"/>
      <x:c r="D17" s="47"/>
      <x:c r="E17" s="47" t="str">
        <x:v>Windows build + save/load + QA + rebuild source</x:v>
      </x:c>
      <x:c r="F17" s="47"/>
      <x:c r="G17" s="47"/>
      <x:c r="H17" s="47"/>
    </x:row>
    <x:row r="18" ht="34" customHeight="1">
      <x:c r="A18" s="47" t="str">
        <x:v>Đọc handoff và state để tiếp tục phiên đang dở.</x:v>
      </x:c>
      <x:c r="B18" s="47"/>
      <x:c r="C18" s="47"/>
      <x:c r="D18" s="47"/>
      <x:c r="E18" s="47" t="str">
        <x:v>Public release cần quyền xác nhận riêng</x:v>
      </x:c>
      <x:c r="F18" s="47"/>
      <x:c r="G18" s="47"/>
      <x:c r="H18" s="47"/>
    </x:row>
    <x:row r="19" ht="24" customHeight="1">
      <x:c r="A19" s="24"/>
      <x:c r="B19" s="24"/>
      <x:c r="C19" s="24"/>
      <x:c r="D19" s="24"/>
      <x:c r="E19" s="24"/>
      <x:c r="F19" s="24"/>
      <x:c r="G19" s="24"/>
      <x:c r="H19" s="24"/>
    </x:row>
    <x:row r="20" ht="31" customHeight="1">
      <x:c r="A20" s="50" t="str">
        <x:v>BEGIN: python tools/validate_plan.py  →  python tools/agentctl.py next</x:v>
      </x:c>
      <x:c r="B20" s="50"/>
      <x:c r="C20" s="50"/>
      <x:c r="D20" s="50"/>
      <x:c r="E20" s="50"/>
      <x:c r="F20" s="50"/>
      <x:c r="G20" s="50"/>
      <x:c r="H20" s="50"/>
    </x:row>
    <x:row r="21" ht="24" customHeight="1">
      <x:c r="A21" s="24"/>
      <x:c r="B21" s="24"/>
      <x:c r="C21" s="24"/>
      <x:c r="D21" s="24"/>
      <x:c r="E21" s="24"/>
      <x:c r="F21" s="24"/>
      <x:c r="G21" s="24"/>
      <x:c r="H21" s="24"/>
    </x:row>
    <x:row r="22" ht="24" customHeight="1">
      <x:c r="A22" s="7" t="str">
        <x:v>SOURCE OF TRUTH
plan/backlog.json + state/task_state.json; snapshot revision 60. Design validation is not game QA.</x:v>
      </x:c>
      <x:c r="B22" s="7"/>
      <x:c r="C22" s="7"/>
      <x:c r="D22" s="7"/>
      <x:c r="E22" s="7"/>
      <x:c r="F22" s="7"/>
      <x:c r="G22" s="7"/>
      <x:c r="H22" s="7"/>
    </x:row>
    <x:row r="23" ht="24" customHeight="1">
      <x:c r="A23" s="7"/>
      <x:c r="B23" s="7"/>
      <x:c r="C23" s="7"/>
      <x:c r="D23" s="7"/>
      <x:c r="E23" s="7"/>
      <x:c r="F23" s="7"/>
      <x:c r="G23" s="7"/>
      <x:c r="H23" s="7"/>
    </x:row>
    <x:row r="24" ht="24" customHeight="1">
      <x:c r="A24" s="24"/>
      <x:c r="B24" s="24"/>
      <x:c r="C24" s="24"/>
      <x:c r="D24" s="24"/>
      <x:c r="E24" s="24"/>
      <x:c r="F24" s="24"/>
      <x:c r="G24" s="24"/>
      <x:c r="H24" s="24"/>
    </x:row>
    <x:row r="25" ht="24" customHeight="1">
      <x:c r="A25" s="24"/>
      <x:c r="B25" s="24"/>
      <x:c r="C25" s="24"/>
      <x:c r="D25" s="24"/>
      <x:c r="E25" s="24"/>
      <x:c r="F25" s="24"/>
      <x:c r="G25" s="24"/>
      <x:c r="H25" s="24"/>
    </x:row>
    <x:row r="26" ht="24" customHeight="1">
      <x:c r="A26" s="24"/>
      <x:c r="B26" s="24"/>
      <x:c r="C26" s="24"/>
      <x:c r="D26" s="24"/>
      <x:c r="E26" s="24"/>
      <x:c r="F26" s="24"/>
      <x:c r="G26" s="24"/>
      <x:c r="H26" s="24"/>
    </x:row>
    <x:row r="27" ht="24" customHeight="1">
      <x:c r="A27" s="24"/>
      <x:c r="B27" s="24"/>
      <x:c r="C27" s="24"/>
      <x:c r="D27" s="24"/>
      <x:c r="E27" s="24"/>
      <x:c r="F27" s="24"/>
      <x:c r="G27" s="24"/>
      <x:c r="H27" s="24"/>
    </x:row>
    <x:row r="28" ht="24" customHeight="1">
      <x:c r="A28" s="24"/>
      <x:c r="B28" s="24"/>
      <x:c r="C28" s="24"/>
      <x:c r="D28" s="24"/>
      <x:c r="E28" s="24"/>
      <x:c r="F28" s="24"/>
      <x:c r="G28" s="24"/>
      <x:c r="H28" s="24"/>
    </x:row>
    <x:row r="29" ht="24" customHeight="1">
      <x:c r="A29" s="24"/>
      <x:c r="B29" s="24"/>
      <x:c r="C29" s="24"/>
      <x:c r="D29" s="24"/>
      <x:c r="E29" s="24"/>
      <x:c r="F29" s="24"/>
      <x:c r="G29" s="24"/>
      <x:c r="H29" s="24"/>
    </x:row>
    <x:row r="30" ht="24" customHeight="1">
      <x:c r="A30" s="24"/>
      <x:c r="B30" s="24"/>
      <x:c r="C30" s="24"/>
      <x:c r="D30" s="24"/>
      <x:c r="E30" s="24"/>
      <x:c r="F30" s="24"/>
      <x:c r="G30" s="24"/>
      <x:c r="H30" s="24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1:D11"/>
    <x:mergeCell ref="E11:H11"/>
    <x:mergeCell ref="A12:D12"/>
    <x:mergeCell ref="E12:H12"/>
    <x:mergeCell ref="A13:D13"/>
    <x:mergeCell ref="E13:H13"/>
    <x:mergeCell ref="A14:D14"/>
    <x:mergeCell ref="E14:H14"/>
    <x:mergeCell ref="A15:D15"/>
    <x:mergeCell ref="E15:H15"/>
    <x:mergeCell ref="A16:D16"/>
    <x:mergeCell ref="E16:H16"/>
    <x:mergeCell ref="A17:D17"/>
    <x:mergeCell ref="E17:H17"/>
    <x:mergeCell ref="A18:D18"/>
    <x:mergeCell ref="E18:H18"/>
    <x:mergeCell ref="A20:H20"/>
    <x:mergeCell ref="A22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15" hidden="0" customWidth="1"/>
  </x:cols>
  <x:sheetData>
    <x:row r="1" ht="36" customHeight="1">
      <x:c r="A1" s="3" t="str">
        <x:v>READ THIS FIRST / agent tracker</x:v>
      </x:c>
      <x:c r="B1" s="3"/>
    </x:row>
    <x:row r="2" ht="31" customHeight="1">
      <x:c r="A2" s="7" t="str">
        <x:v>Snapshot revision 60; gameplay3.1, ADR-002; workbook is a read view, not an independent ledger.</x:v>
      </x:c>
      <x:c r="B2" s="7"/>
    </x:row>
    <x:row r="4" ht="32" customHeight="1">
      <x:c r="A4" s="18" t="str">
        <x:v>Section</x:v>
      </x:c>
      <x:c r="B4" s="18" t="str">
        <x:v>Instruction</x:v>
      </x:c>
    </x:row>
    <x:row r="5" ht="58" customHeight="1">
      <x:c r="A5" s="12" t="str">
        <x:v>01 / Start</x:v>
      </x:c>
      <x:c r="B5" s="12" t="str">
        <x:v>Giải nén vào repo sau khi kiểm tra source và AGENTS.md có sẵn. Đọc START_HERE.md rồi MASTER_AGENT_PROMPT.md.</x:v>
      </x:c>
    </x:row>
    <x:row r="6" ht="58" customHeight="1">
      <x:c r="A6" s="12" t="str">
        <x:v>02 / Canonical plan</x:v>
      </x:c>
      <x:c r="B6" s="12" t="str">
        <x:v>plan/backlog.json là định nghĩa task; state/task_state.json là trạng thái. Excel/HTML/CSV là snapshot để đọc.</x:v>
      </x:c>
    </x:row>
    <x:row r="7" ht="58" customHeight="1">
      <x:c r="A7" s="12" t="str">
        <x:v>03 / Next task</x:v>
      </x:c>
      <x:c r="B7" s="12" t="str">
        <x:v>python tools/agentctl.py next — chỉ đề xuất task Ready; không tự code hoặc tự chạy toàn dự án.</x:v>
      </x:c>
    </x:row>
    <x:row r="8" ht="58" customHeight="1">
      <x:c r="A8" s="12" t="str">
        <x:v>04 / Lifecycle</x:v>
      </x:c>
      <x:c r="B8" s="12" t="str">
        <x:v>start → triển khai output thật → verification → review → finish với evidence có hash, output và đúng loại kiểm thử.</x:v>
      </x:c>
    </x:row>
    <x:row r="9" ht="58" customHeight="1">
      <x:c r="A9" s="12" t="str">
        <x:v>05 / Resuming</x:v>
      </x:c>
      <x:c r="B9" s="12" t="str">
        <x:v>Đọc state/session_handoff.md, state và git diff. Tiếp tục task đang làm; không reset toàn bộ trạng thái.</x:v>
      </x:c>
    </x:row>
    <x:row r="10" ht="58" customHeight="1">
      <x:c r="A10" s="12" t="str">
        <x:v>06 / Modes</x:v>
      </x:c>
      <x:c r="B10" s="12" t="str">
        <x:v>Nhiều mode là trách nhiệm của agent, mặc định một agent chạy tuần tự. Không giả định có freelancer hoặc agent con.</x:v>
      </x:c>
    </x:row>
    <x:row r="11" ht="58" customHeight="1">
      <x:c r="A11" s="12" t="str">
        <x:v>07 / Waves</x:v>
      </x:c>
      <x:c r="B11" s="12" t="str">
        <x:v>Giữ 36 wave và 592 ID. Không quy đổi giờ người thành thời gian agent, không hứa ngày hoàn thành.</x:v>
      </x:c>
    </x:row>
    <x:row r="12" ht="58" customHeight="1">
      <x:c r="A12" s="12" t="str">
        <x:v>08 / Evidence</x:v>
      </x:c>
      <x:c r="B12" s="12" t="str">
        <x:v>Dùng đúng required_verification trong task: ARTIFACT_REVIEW, ENGINE_TEST, RENDERED_RUNTIME, AUDIO_REVIEW, WINDOWS_RUNTIME, EXTERNAL_RESULT. Không tự đổi enum hoặc đổi NOT_TESTED thành PASS.</x:v>
      </x:c>
    </x:row>
    <x:row r="13" ht="58" customHeight="1">
      <x:c r="A13" s="12" t="str">
        <x:v>09 / Completion</x:v>
      </x:c>
      <x:c r="B13" s="12" t="str">
        <x:v>Tách TECHNICALLY_COMPLETE, READY_FOR_RELEASE, PUBLISHED. Bản ZIP hiện là tài liệu/helper, chưa có game.</x:v>
      </x:c>
    </x:row>
    <x:row r="14" ht="58" customHeight="1">
      <x:c r="A14" s="12" t="str">
        <x:v>10 / Refresh</x:v>
      </x:c>
      <x:c r="B14" s="12" t="str">
        <x:v>Chạy python tools/render_views.py để cập nhật HTML/CSV từ canonical state. XLSX này là snapshot revision 0; không dùng như nguồn trạng thái.</x:v>
      </x:c>
    </x:row>
    <x:row r="15" ht="58" customHeight="1">
      <x:c r="A15" s="12" t="str">
        <x:v>11 / Task detail</x:v>
      </x:c>
      <x:c r="B15" s="12" t="str">
        <x:v>Mỗi dòng Tasks trỏ tới tasks/&lt;ID&gt;.md có read_before, output, trình tự, acceptance, verify, blocker và resume.</x:v>
      </x:c>
    </x:row>
    <x:row r="16" ht="58" customHeight="1">
      <x:c r="A16" s="12" t="str">
        <x:v>12 / Validation</x:v>
      </x:c>
      <x:c r="B16" s="12" t="str">
        <x:v>python tools/validate_plan.py và python -m unittest discover -s tools -p test_agentctl.py. Đây là kiểm tra gói và helper, không phải game.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2fd3b5f72ebb41f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40" hidden="0" customWidth="1"/>
    <x:col min="4" max="4" width="44" hidden="0" customWidth="1"/>
    <x:col min="5" max="5" width="10" hidden="0" customWidth="1"/>
    <x:col min="6" max="6" width="10" hidden="0" customWidth="1"/>
    <x:col min="7" max="7" width="15" hidden="0" customWidth="1"/>
    <x:col min="8" max="8" width="30" hidden="0" customWidth="1"/>
    <x:col min="9" max="9" width="34" hidden="0" customWidth="1"/>
  </x:cols>
  <x:sheetData>
    <x:row r="1" ht="36" customHeight="1">
      <x:c r="A1" s="3" t="str">
        <x:v>EXECUTION WAVES / dependency-driven</x:v>
      </x:c>
      <x:c r="B1" s="3"/>
      <x:c r="C1" s="3"/>
      <x:c r="D1" s="3"/>
      <x:c r="E1" s="3"/>
      <x:c r="F1" s="3"/>
      <x:c r="G1" s="3"/>
      <x:c r="H1" s="3"/>
      <x:c r="I1" s="3"/>
    </x:row>
    <x:row r="2" ht="31" customHeight="1">
      <x:c r="A2" s="7" t="str">
        <x:v>36 waves • Không phải lịch 2 tuần. Chuyển wave theo điều kiện Ready và hard gate; không theo ngày.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8" t="str">
        <x:v>Wave</x:v>
      </x:c>
      <x:c r="B4" s="18" t="str">
        <x:v>Phase</x:v>
      </x:c>
      <x:c r="C4" s="18" t="str">
        <x:v>Title</x:v>
      </x:c>
      <x:c r="D4" s="18" t="str">
        <x:v>Exit outcome</x:v>
      </x:c>
      <x:c r="E4" s="18" t="str">
        <x:v>Tasks</x:v>
      </x:c>
      <x:c r="F4" s="18" t="str">
        <x:v>Done</x:v>
      </x:c>
      <x:c r="G4" s="18" t="str">
        <x:v>Done / total</x:v>
      </x:c>
      <x:c r="H4" s="18" t="str">
        <x:v>Gate</x:v>
      </x:c>
      <x:c r="I4" s="18" t="str">
        <x:v>Stories</x:v>
      </x:c>
    </x:row>
    <x:row r="5" ht="60" customHeight="1">
      <x:c r="A5" s="12" t="str">
        <x:v>S01</x:v>
      </x:c>
      <x:c r="B5" s="12" t="str">
        <x:v>Tiền sản xuất</x:v>
      </x:c>
      <x:c r="C5" s="12" t="str">
        <x:v>Khóa phạm vi và khởi tạo dự án</x:v>
      </x:c>
      <x:c r="D5" s="12" t="str">
        <x:v>Có baseline full game được duyệt và một build Windows khởi động từ clean checkout.</x:v>
      </x:c>
      <x:c r="E5" s="12" t="n">
        <x:v>16</x:v>
      </x:c>
      <x:c r="F5" s="12" t="n">
        <x:f>COUNTIFS(Tasks!B$5:B$602,A5,Tasks!F$5:F$602,"DONE")</x:f>
        <x:v>16</x:v>
      </x:c>
      <x:c r="G5" s="22" t="n">
        <x:f>IFERROR(F5/E5,0)</x:f>
        <x:v>1</x:v>
      </x:c>
      <x:c r="H5" s="12" t="str">
        <x:v>G0 — Baseline được duyệt</x:v>
      </x:c>
      <x:c r="I5" s="12" t="str">
        <x:v>ST-0101, ST-0102, ST-0103, ST-0104</x:v>
      </x:c>
    </x:row>
    <x:row r="6" ht="60" customHeight="1">
      <x:c r="A6" s="12" t="str">
        <x:v>S02</x:v>
      </x:c>
      <x:c r="B6" s="12" t="str">
        <x:v>Prototype</x:v>
      </x:c>
      <x:c r="C6" s="12" t="str">
        <x:v>Greybox, movement và camera 2.5D</x:v>
      </x:c>
      <x:c r="D6" s="12" t="str">
        <x:v>Người chơi đi trong hành lang có chiều sâu mà không lạc hướng hoặc bị camera che.</x:v>
      </x:c>
      <x:c r="E6" s="12" t="n">
        <x:v>16</x:v>
      </x:c>
      <x:c r="F6" s="12" t="n">
        <x:f>COUNTIFS(Tasks!B$5:B$602,A6,Tasks!F$5:F$602,"DONE")</x:f>
        <x:v>3</x:v>
      </x:c>
      <x:c r="G6" s="22" t="n">
        <x:f>IFERROR(F6/E6,0)</x:f>
        <x:v>0.1875</x:v>
      </x:c>
      <x:c r="H6" s="12" t="str"/>
      <x:c r="I6" s="12" t="str">
        <x:v>ST-0201, ST-0202, ST-0203, ST-0204</x:v>
      </x:c>
    </x:row>
    <x:row r="7" ht="60" customHeight="1">
      <x:c r="A7" s="12" t="str">
        <x:v>S03</x:v>
      </x:c>
      <x:c r="B7" s="12" t="str">
        <x:v>Prototype</x:v>
      </x:c>
      <x:c r="C7" s="12" t="str">
        <x:v>World Switching an toàn</x:v>
      </x:c>
      <x:c r="D7" s="12" t="str">
        <x:v>Đổi REAL/ERASED thay đổi đường đi mà không làm người chơi kẹt hoặc rơi xuyên sàn.</x:v>
      </x:c>
      <x:c r="E7" s="12" t="n">
        <x:v>16</x:v>
      </x:c>
      <x:c r="F7" s="12" t="n">
        <x:f>COUNTIFS(Tasks!B$5:B$602,A7,Tasks!F$5:F$602,"DONE")</x:f>
        <x:v>0</x:v>
      </x:c>
      <x:c r="G7" s="22" t="n">
        <x:f>IFERROR(F7/E7,0)</x:f>
        <x:v>0</x:v>
      </x:c>
      <x:c r="H7" s="12" t="str"/>
      <x:c r="I7" s="12" t="str">
        <x:v>ST-0301, ST-0302, ST-0303, ST-0304</x:v>
      </x:c>
    </x:row>
    <x:row r="8" ht="60" customHeight="1">
      <x:c r="A8" s="12" t="str">
        <x:v>S04</x:v>
      </x:c>
      <x:c r="B8" s="12" t="str">
        <x:v>Prototype</x:v>
      </x:c>
      <x:c r="C8" s="12" t="str">
        <x:v>Puzzle prototype hoàn chỉnh</x:v>
      </x:c>
      <x:c r="D8" s="12" t="str">
        <x:v>Nhặt đèn → vượt rào → lấy chìa → vào nhà bị xóa → tìm ảnh trong build Windows.</x:v>
      </x:c>
      <x:c r="E8" s="12" t="n">
        <x:v>16</x:v>
      </x:c>
      <x:c r="F8" s="12" t="n">
        <x:f>COUNTIFS(Tasks!B$5:B$602,A8,Tasks!F$5:F$602,"DONE")</x:f>
        <x:v>0</x:v>
      </x:c>
      <x:c r="G8" s="22" t="n">
        <x:f>IFERROR(F8/E8,0)</x:f>
        <x:v>0</x:v>
      </x:c>
      <x:c r="H8" s="12" t="str">
        <x:v>G1 — Technical Prototype</x:v>
      </x:c>
      <x:c r="I8" s="12" t="str">
        <x:v>ST-0401, ST-0402, ST-0403, ST-0404</x:v>
      </x:c>
    </x:row>
    <x:row r="9" ht="60" customHeight="1">
      <x:c r="A9" s="12" t="str">
        <x:v>S05</x:v>
      </x:c>
      <x:c r="B9" s="12" t="str">
        <x:v>Vertical slice</x:v>
      </x:c>
      <x:c r="C9" s="12" t="str">
        <x:v>Nền tảng kể chuyện và save checkpoint</x:v>
      </x:c>
      <x:c r="D9" s="12" t="str">
        <x:v>Một đoạn truyện có thể chạy, lưu và khôi phục đúng state thay vì chỉ chơi một lần.</x:v>
      </x:c>
      <x:c r="E9" s="12" t="n">
        <x:v>16</x:v>
      </x:c>
      <x:c r="F9" s="12" t="n">
        <x:f>COUNTIFS(Tasks!B$5:B$602,A9,Tasks!F$5:F$602,"DONE")</x:f>
        <x:v>0</x:v>
      </x:c>
      <x:c r="G9" s="22" t="n">
        <x:f>IFERROR(F9/E9,0)</x:f>
        <x:v>0</x:v>
      </x:c>
      <x:c r="H9" s="12" t="str"/>
      <x:c r="I9" s="12" t="str">
        <x:v>ST-0501, ST-0502, ST-0503, ST-0504</x:v>
      </x:c>
    </x:row>
    <x:row r="10" ht="60" customHeight="1">
      <x:c r="A10" s="12" t="str">
        <x:v>S06</x:v>
      </x:c>
      <x:c r="B10" s="12" t="str">
        <x:v>Vertical slice</x:v>
      </x:c>
      <x:c r="C10" s="12" t="str">
        <x:v>Hội thoại, cinematic và hoạt ảnh</x:v>
      </x:c>
      <x:c r="D10" s="12" t="str">
        <x:v>Có thể trò chuyện với NPC và xem cảnh nhà biến mất mà skip/load vẫn đúng tiến trình.</x:v>
      </x:c>
      <x:c r="E10" s="12" t="n">
        <x:v>16</x:v>
      </x:c>
      <x:c r="F10" s="12" t="n">
        <x:f>COUNTIFS(Tasks!B$5:B$602,A10,Tasks!F$5:F$602,"DONE")</x:f>
        <x:v>0</x:v>
      </x:c>
      <x:c r="G10" s="22" t="n">
        <x:f>IFERROR(F10/E10,0)</x:f>
        <x:v>0</x:v>
      </x:c>
      <x:c r="H10" s="12" t="str"/>
      <x:c r="I10" s="12" t="str">
        <x:v>ST-0601, ST-0602, ST-0603, ST-0604</x:v>
      </x:c>
    </x:row>
    <x:row r="11" ht="60" customHeight="1">
      <x:c r="A11" s="12" t="str">
        <x:v>S07</x:v>
      </x:c>
      <x:c r="B11" s="12" t="str">
        <x:v>Vertical slice</x:v>
      </x:c>
      <x:c r="C11" s="12" t="str">
        <x:v>Dựng đêm đầu tiên và ngôn ngữ hình ảnh</x:v>
      </x:c>
      <x:c r="D11" s="12" t="str">
        <x:v>Vertical slice có đầu–giữa–cuối ở greybox/art pass đầu, với dấu áo mưa vàng.</x:v>
      </x:c>
      <x:c r="E11" s="12" t="n">
        <x:v>22</x:v>
      </x:c>
      <x:c r="F11" s="12" t="n">
        <x:f>COUNTIFS(Tasks!B$5:B$602,A11,Tasks!F$5:F$602,"DONE")</x:f>
        <x:v>0</x:v>
      </x:c>
      <x:c r="G11" s="22" t="n">
        <x:f>IFERROR(F11/E11,0)</x:f>
        <x:v>0</x:v>
      </x:c>
      <x:c r="H11" s="12" t="str"/>
      <x:c r="I11" s="12" t="str">
        <x:v>ST-0701, ST-0702, ST-0703, ST-0704</x:v>
      </x:c>
    </x:row>
    <x:row r="12" ht="60" customHeight="1">
      <x:c r="A12" s="12" t="str">
        <x:v>S08</x:v>
      </x:c>
      <x:c r="B12" s="12" t="str">
        <x:v>Vertical slice</x:v>
      </x:c>
      <x:c r="C12" s="12" t="str">
        <x:v>Kẻ Gõ Cửa và stealth công bằng</x:v>
      </x:c>
      <x:c r="D12" s="12" t="str">
        <x:v>Người chơi tránh một thực thể có quy luật rõ, bị bắt thì hồi checkpoint không mất chứng cứ.</x:v>
      </x:c>
      <x:c r="E12" s="12" t="n">
        <x:v>16</x:v>
      </x:c>
      <x:c r="F12" s="12" t="n">
        <x:f>COUNTIFS(Tasks!B$5:B$602,A12,Tasks!F$5:F$602,"DONE")</x:f>
        <x:v>0</x:v>
      </x:c>
      <x:c r="G12" s="22" t="n">
        <x:f>IFERROR(F12/E12,0)</x:f>
        <x:v>0</x:v>
      </x:c>
      <x:c r="H12" s="12" t="str"/>
      <x:c r="I12" s="12" t="str">
        <x:v>ST-0801, ST-0802, ST-0803, ST-0804</x:v>
      </x:c>
    </x:row>
    <x:row r="13" ht="60" customHeight="1">
      <x:c r="A13" s="12" t="str">
        <x:v>S09</x:v>
      </x:c>
      <x:c r="B13" s="12" t="str">
        <x:v>Vertical slice</x:v>
      </x:c>
      <x:c r="C13" s="12" t="str">
        <x:v>Ghép vertical slice và UI cơ bản</x:v>
      </x:c>
      <x:c r="D13" s="12" t="str">
        <x:v>Demo có menu/continue/settings, hoàn thành bằng keyboard hoặc gamepad mà không cần editor.</x:v>
      </x:c>
      <x:c r="E13" s="12" t="n">
        <x:v>16</x:v>
      </x:c>
      <x:c r="F13" s="12" t="n">
        <x:f>COUNTIFS(Tasks!B$5:B$602,A13,Tasks!F$5:F$602,"DONE")</x:f>
        <x:v>0</x:v>
      </x:c>
      <x:c r="G13" s="22" t="n">
        <x:f>IFERROR(F13/E13,0)</x:f>
        <x:v>0</x:v>
      </x:c>
      <x:c r="H13" s="12" t="str"/>
      <x:c r="I13" s="12" t="str">
        <x:v>ST-0901, ST-0902, ST-0903, ST-0904</x:v>
      </x:c>
    </x:row>
    <x:row r="14" ht="60" customHeight="1">
      <x:c r="A14" s="12" t="str">
        <x:v>S10</x:v>
      </x:c>
      <x:c r="B14" s="12" t="str">
        <x:v>Vertical slice</x:v>
      </x:c>
      <x:c r="C14" s="12" t="str">
        <x:v>Gate vertical slice và hiệu chỉnh kế hoạch</x:v>
      </x:c>
      <x:c r="D14" s="12" t="str">
        <x:v>Nghiệm thu CH01 P01–P04 hoàn chỉnh, closeup/inventory/recipes/hints/save/stealth/art/audio và8profile trước nhân rộng.</x:v>
      </x:c>
      <x:c r="E14" s="12" t="n">
        <x:v>16</x:v>
      </x:c>
      <x:c r="F14" s="12" t="n">
        <x:f>COUNTIFS(Tasks!B$5:B$602,A14,Tasks!F$5:F$602,"DONE")</x:f>
        <x:v>0</x:v>
      </x:c>
      <x:c r="G14" s="22" t="n">
        <x:f>IFERROR(F14/E14,0)</x:f>
        <x:v>0</x:v>
      </x:c>
      <x:c r="H14" s="12" t="str">
        <x:v>G2 — Vertical Slice</x:v>
      </x:c>
      <x:c r="I14" s="12" t="str">
        <x:v>ST-1001, ST-1002, ST-1003, ST-1004</x:v>
      </x:c>
    </x:row>
    <x:row r="15" ht="60" customHeight="1">
      <x:c r="A15" s="12" t="str">
        <x:v>S11</x:v>
      </x:c>
      <x:c r="B15" s="12" t="str">
        <x:v>Production foundations</x:v>
      </x:c>
      <x:c r="C15" s="12" t="str">
        <x:v>Đưa hệ thống lên quy mô nhiều chương</x:v>
      </x:c>
      <x:c r="D15" s="12" t="str">
        <x:v>Chuyển qua lại hai khu vực và load save đúng mà không giữ cả làng nhân đôi trong RAM.</x:v>
      </x:c>
      <x:c r="E15" s="12" t="n">
        <x:v>16</x:v>
      </x:c>
      <x:c r="F15" s="12" t="n">
        <x:f>COUNTIFS(Tasks!B$5:B$602,A15,Tasks!F$5:F$602,"DONE")</x:f>
        <x:v>0</x:v>
      </x:c>
      <x:c r="G15" s="22" t="n">
        <x:f>IFERROR(F15/E15,0)</x:f>
        <x:v>0</x:v>
      </x:c>
      <x:c r="H15" s="12" t="str"/>
      <x:c r="I15" s="12" t="str">
        <x:v>ST-1101, ST-1102, ST-1103, ST-1104</x:v>
      </x:c>
    </x:row>
    <x:row r="16" ht="60" customHeight="1">
      <x:c r="A16" s="12" t="str">
        <x:v>S12</x:v>
      </x:c>
      <x:c r="B16" s="12" t="str">
        <x:v>Production foundations</x:v>
      </x:c>
      <x:c r="C16" s="12" t="str">
        <x:v>Hub bảy đêm, journal và UX hoàn chỉnh</x:v>
      </x:c>
      <x:c r="D16" s="12" t="str">
        <x:v>Hệ thống nền hỗ trợ các chương còn lại mà không cần thiết kế một framework mới cho từng nhà.</x:v>
      </x:c>
      <x:c r="E16" s="12" t="n">
        <x:v>16</x:v>
      </x:c>
      <x:c r="F16" s="12" t="n">
        <x:f>COUNTIFS(Tasks!B$5:B$602,A16,Tasks!F$5:F$602,"DONE")</x:f>
        <x:v>0</x:v>
      </x:c>
      <x:c r="G16" s="22" t="n">
        <x:f>IFERROR(F16/E16,0)</x:f>
        <x:v>0</x:v>
      </x:c>
      <x:c r="H16" s="12" t="str">
        <x:v>G3 — Production-ready systems</x:v>
      </x:c>
      <x:c r="I16" s="12" t="str">
        <x:v>ST-1201, ST-1202, ST-1203, ST-1204</x:v>
      </x:c>
    </x:row>
    <x:row r="17" ht="60" customHeight="1">
      <x:c r="A17" s="12" t="str">
        <x:v>S13</x:v>
      </x:c>
      <x:c r="B17" s="12" t="str">
        <x:v>Sản xuất nội dung</x:v>
      </x:c>
      <x:c r="C17" s="12" t="str">
        <x:v>CH2 greybox — Bữa cơm thiếu một người</x:v>
      </x:c>
      <x:c r="D17" s="12" t="str">
        <x:v>H02 có hai puzzle chính và một nhánh ký ức hoàn tất ở greybox, nối đúng chương trước.</x:v>
      </x:c>
      <x:c r="E17" s="12" t="n">
        <x:v>16</x:v>
      </x:c>
      <x:c r="F17" s="12" t="n">
        <x:f>COUNTIFS(Tasks!B$5:B$602,A17,Tasks!F$5:F$602,"DONE")</x:f>
        <x:v>0</x:v>
      </x:c>
      <x:c r="G17" s="22" t="n">
        <x:f>IFERROR(F17/E17,0)</x:f>
        <x:v>0</x:v>
      </x:c>
      <x:c r="H17" s="12" t="str"/>
      <x:c r="I17" s="12" t="str">
        <x:v>ST-1301, ST-1302, ST-1303, ST-1304</x:v>
      </x:c>
    </x:row>
    <x:row r="18" ht="60" customHeight="1">
      <x:c r="A18" s="12" t="str">
        <x:v>S14</x:v>
      </x:c>
      <x:c r="B18" s="12" t="str">
        <x:v>Sản xuất nội dung</x:v>
      </x:c>
      <x:c r="C18" s="12" t="str">
        <x:v>CH2 hoàn thiện — Bữa cơm thiếu một người</x:v>
      </x:c>
      <x:c r="D18" s="12" t="str">
        <x:v>H02 đạt chapter DoD: gameplay, lời thoại, art, audio, save, hint và regression có evidence.</x:v>
      </x:c>
      <x:c r="E18" s="12" t="n">
        <x:v>22</x:v>
      </x:c>
      <x:c r="F18" s="12" t="n">
        <x:f>COUNTIFS(Tasks!B$5:B$602,A18,Tasks!F$5:F$602,"DONE")</x:f>
        <x:v>0</x:v>
      </x:c>
      <x:c r="G18" s="22" t="n">
        <x:f>IFERROR(F18/E18,0)</x:f>
        <x:v>0</x:v>
      </x:c>
      <x:c r="H18" s="12" t="str"/>
      <x:c r="I18" s="12" t="str">
        <x:v>ST-1401, ST-1402, ST-1403, ST-1404, ST-1405</x:v>
      </x:c>
    </x:row>
    <x:row r="19" ht="60" customHeight="1">
      <x:c r="A19" s="12" t="str">
        <x:v>S15</x:v>
      </x:c>
      <x:c r="B19" s="12" t="str">
        <x:v>Sản xuất nội dung</x:v>
      </x:c>
      <x:c r="C19" s="12" t="str">
        <x:v>CH3 greybox — Dấu nước trên tường</x:v>
      </x:c>
      <x:c r="D19" s="12" t="str">
        <x:v>H03 có hai puzzle chính và một nhánh ký ức hoàn tất ở greybox, nối đúng chương trước.</x:v>
      </x:c>
      <x:c r="E19" s="12" t="n">
        <x:v>16</x:v>
      </x:c>
      <x:c r="F19" s="12" t="n">
        <x:f>COUNTIFS(Tasks!B$5:B$602,A19,Tasks!F$5:F$602,"DONE")</x:f>
        <x:v>0</x:v>
      </x:c>
      <x:c r="G19" s="22" t="n">
        <x:f>IFERROR(F19/E19,0)</x:f>
        <x:v>0</x:v>
      </x:c>
      <x:c r="H19" s="12" t="str"/>
      <x:c r="I19" s="12" t="str">
        <x:v>ST-1501, ST-1502, ST-1503, ST-1504</x:v>
      </x:c>
    </x:row>
    <x:row r="20" ht="60" customHeight="1">
      <x:c r="A20" s="12" t="str">
        <x:v>S16</x:v>
      </x:c>
      <x:c r="B20" s="12" t="str">
        <x:v>Sản xuất nội dung</x:v>
      </x:c>
      <x:c r="C20" s="12" t="str">
        <x:v>CH3 hoàn thiện — Dấu nước trên tường</x:v>
      </x:c>
      <x:c r="D20" s="12" t="str">
        <x:v>H03 đạt chapter DoD: gameplay, lời thoại, art, audio, save, hint và regression có evidence.</x:v>
      </x:c>
      <x:c r="E20" s="12" t="n">
        <x:v>17</x:v>
      </x:c>
      <x:c r="F20" s="12" t="n">
        <x:f>COUNTIFS(Tasks!B$5:B$602,A20,Tasks!F$5:F$602,"DONE")</x:f>
        <x:v>0</x:v>
      </x:c>
      <x:c r="G20" s="22" t="n">
        <x:f>IFERROR(F20/E20,0)</x:f>
        <x:v>0</x:v>
      </x:c>
      <x:c r="H20" s="12" t="str"/>
      <x:c r="I20" s="12" t="str">
        <x:v>ST-1601, ST-1602, ST-1603, ST-1604</x:v>
      </x:c>
    </x:row>
    <x:row r="21" ht="60" customHeight="1">
      <x:c r="A21" s="12" t="str">
        <x:v>S17</x:v>
      </x:c>
      <x:c r="B21" s="12" t="str">
        <x:v>Sản xuất nội dung</x:v>
      </x:c>
      <x:c r="C21" s="12" t="str">
        <x:v>CH4 greybox — Ngôi trường không tồn tại</x:v>
      </x:c>
      <x:c r="D21" s="12" t="str">
        <x:v>H04 có hai puzzle chính và một nhánh ký ức hoàn tất ở greybox, nối đúng chương trước.</x:v>
      </x:c>
      <x:c r="E21" s="12" t="n">
        <x:v>16</x:v>
      </x:c>
      <x:c r="F21" s="12" t="n">
        <x:f>COUNTIFS(Tasks!B$5:B$602,A21,Tasks!F$5:F$602,"DONE")</x:f>
        <x:v>0</x:v>
      </x:c>
      <x:c r="G21" s="22" t="n">
        <x:f>IFERROR(F21/E21,0)</x:f>
        <x:v>0</x:v>
      </x:c>
      <x:c r="H21" s="12" t="str"/>
      <x:c r="I21" s="12" t="str">
        <x:v>ST-1701, ST-1702, ST-1703, ST-1704</x:v>
      </x:c>
    </x:row>
    <x:row r="22" ht="60" customHeight="1">
      <x:c r="A22" s="12" t="str">
        <x:v>S18</x:v>
      </x:c>
      <x:c r="B22" s="12" t="str">
        <x:v>Sản xuất nội dung</x:v>
      </x:c>
      <x:c r="C22" s="12" t="str">
        <x:v>CH4 hoàn thiện — Ngôi trường không tồn tại</x:v>
      </x:c>
      <x:c r="D22" s="12" t="str">
        <x:v>H04 đạt chapter DoD: gameplay, lời thoại, art, audio, save, hint và regression có evidence.</x:v>
      </x:c>
      <x:c r="E22" s="12" t="n">
        <x:v>17</x:v>
      </x:c>
      <x:c r="F22" s="12" t="n">
        <x:f>COUNTIFS(Tasks!B$5:B$602,A22,Tasks!F$5:F$602,"DONE")</x:f>
        <x:v>0</x:v>
      </x:c>
      <x:c r="G22" s="22" t="n">
        <x:f>IFERROR(F22/E22,0)</x:f>
        <x:v>0</x:v>
      </x:c>
      <x:c r="H22" s="12" t="str"/>
      <x:c r="I22" s="12" t="str">
        <x:v>ST-1801, ST-1802, ST-1803, ST-1804</x:v>
      </x:c>
    </x:row>
    <x:row r="23" ht="60" customHeight="1">
      <x:c r="A23" s="12" t="str">
        <x:v>S19</x:v>
      </x:c>
      <x:c r="B23" s="12" t="str">
        <x:v>Sản xuất nội dung</x:v>
      </x:c>
      <x:c r="C23" s="12" t="str">
        <x:v>CH5 greybox — Những trang mẹ giấu</x:v>
      </x:c>
      <x:c r="D23" s="12" t="str">
        <x:v>H05 có hai puzzle chính và một nhánh ký ức hoàn tất ở greybox, nối đúng chương trước.</x:v>
      </x:c>
      <x:c r="E23" s="12" t="n">
        <x:v>16</x:v>
      </x:c>
      <x:c r="F23" s="12" t="n">
        <x:f>COUNTIFS(Tasks!B$5:B$602,A23,Tasks!F$5:F$602,"DONE")</x:f>
        <x:v>0</x:v>
      </x:c>
      <x:c r="G23" s="22" t="n">
        <x:f>IFERROR(F23/E23,0)</x:f>
        <x:v>0</x:v>
      </x:c>
      <x:c r="H23" s="12" t="str"/>
      <x:c r="I23" s="12" t="str">
        <x:v>ST-1901, ST-1902, ST-1903, ST-1904</x:v>
      </x:c>
    </x:row>
    <x:row r="24" ht="60" customHeight="1">
      <x:c r="A24" s="12" t="str">
        <x:v>S20</x:v>
      </x:c>
      <x:c r="B24" s="12" t="str">
        <x:v>Sản xuất nội dung</x:v>
      </x:c>
      <x:c r="C24" s="12" t="str">
        <x:v>CH5 hoàn thiện — Những trang mẹ giấu</x:v>
      </x:c>
      <x:c r="D24" s="12" t="str">
        <x:v>H05 đạt chapter DoD: gameplay, lời thoại, art, audio, save, hint và regression có evidence.</x:v>
      </x:c>
      <x:c r="E24" s="12" t="n">
        <x:v>22</x:v>
      </x:c>
      <x:c r="F24" s="12" t="n">
        <x:f>COUNTIFS(Tasks!B$5:B$602,A24,Tasks!F$5:F$602,"DONE")</x:f>
        <x:v>0</x:v>
      </x:c>
      <x:c r="G24" s="22" t="n">
        <x:f>IFERROR(F24/E24,0)</x:f>
        <x:v>0</x:v>
      </x:c>
      <x:c r="H24" s="12" t="str"/>
      <x:c r="I24" s="12" t="str">
        <x:v>ST-2001, ST-2002, ST-2003, ST-2004, ST-2005</x:v>
      </x:c>
    </x:row>
    <x:row r="25" ht="60" customHeight="1">
      <x:c r="A25" s="12" t="str">
        <x:v>S21</x:v>
      </x:c>
      <x:c r="B25" s="12" t="str">
        <x:v>Sản xuất nội dung</x:v>
      </x:c>
      <x:c r="C25" s="12" t="str">
        <x:v>CH6 greybox — Người mặc áo mưa vàng</x:v>
      </x:c>
      <x:c r="D25" s="12" t="str">
        <x:v>H06 có hai puzzle chính và một nhánh ký ức hoàn tất ở greybox, nối đúng chương trước.</x:v>
      </x:c>
      <x:c r="E25" s="12" t="n">
        <x:v>16</x:v>
      </x:c>
      <x:c r="F25" s="12" t="n">
        <x:f>COUNTIFS(Tasks!B$5:B$602,A25,Tasks!F$5:F$602,"DONE")</x:f>
        <x:v>0</x:v>
      </x:c>
      <x:c r="G25" s="22" t="n">
        <x:f>IFERROR(F25/E25,0)</x:f>
        <x:v>0</x:v>
      </x:c>
      <x:c r="H25" s="12" t="str"/>
      <x:c r="I25" s="12" t="str">
        <x:v>ST-2101, ST-2102, ST-2103, ST-2104</x:v>
      </x:c>
    </x:row>
    <x:row r="26" ht="60" customHeight="1">
      <x:c r="A26" s="12" t="str">
        <x:v>S22</x:v>
      </x:c>
      <x:c r="B26" s="12" t="str">
        <x:v>Sản xuất nội dung</x:v>
      </x:c>
      <x:c r="C26" s="12" t="str">
        <x:v>CH6 hoàn thiện — Người mặc áo mưa vàng</x:v>
      </x:c>
      <x:c r="D26" s="12" t="str">
        <x:v>H06 đạt chapter DoD: gameplay, lời thoại, art, audio, save, hint và regression có evidence.</x:v>
      </x:c>
      <x:c r="E26" s="12" t="n">
        <x:v>17</x:v>
      </x:c>
      <x:c r="F26" s="12" t="n">
        <x:f>COUNTIFS(Tasks!B$5:B$602,A26,Tasks!F$5:F$602,"DONE")</x:f>
        <x:v>0</x:v>
      </x:c>
      <x:c r="G26" s="22" t="n">
        <x:f>IFERROR(F26/E26,0)</x:f>
        <x:v>0</x:v>
      </x:c>
      <x:c r="H26" s="12" t="str"/>
      <x:c r="I26" s="12" t="str">
        <x:v>ST-2201, ST-2202, ST-2203, ST-2204</x:v>
      </x:c>
    </x:row>
    <x:row r="27" ht="60" customHeight="1">
      <x:c r="A27" s="12" t="str">
        <x:v>S23</x:v>
      </x:c>
      <x:c r="B27" s="12" t="str">
        <x:v>Sản xuất nội dung</x:v>
      </x:c>
      <x:c r="C27" s="12" t="str">
        <x:v>CH7 greybox — Cánh cửa thứ bảy</x:v>
      </x:c>
      <x:c r="D27" s="12" t="str">
        <x:v>H07 có hai puzzle chính và một nhánh ký ức hoàn tất ở greybox, nối đúng chương trước.</x:v>
      </x:c>
      <x:c r="E27" s="12" t="n">
        <x:v>16</x:v>
      </x:c>
      <x:c r="F27" s="12" t="n">
        <x:f>COUNTIFS(Tasks!B$5:B$602,A27,Tasks!F$5:F$602,"DONE")</x:f>
        <x:v>0</x:v>
      </x:c>
      <x:c r="G27" s="22" t="n">
        <x:f>IFERROR(F27/E27,0)</x:f>
        <x:v>0</x:v>
      </x:c>
      <x:c r="H27" s="12" t="str"/>
      <x:c r="I27" s="12" t="str">
        <x:v>ST-2301, ST-2302, ST-2303, ST-2304</x:v>
      </x:c>
    </x:row>
    <x:row r="28" ht="60" customHeight="1">
      <x:c r="A28" s="12" t="str">
        <x:v>S24</x:v>
      </x:c>
      <x:c r="B28" s="12" t="str">
        <x:v>Sản xuất nội dung</x:v>
      </x:c>
      <x:c r="C28" s="12" t="str">
        <x:v>CH7 hoàn thiện — Cánh cửa thứ bảy</x:v>
      </x:c>
      <x:c r="D28" s="12" t="str">
        <x:v>H07 đạt chapter DoD: gameplay, lời thoại, art, audio, save, hint và regression có evidence.</x:v>
      </x:c>
      <x:c r="E28" s="12" t="n">
        <x:v>17</x:v>
      </x:c>
      <x:c r="F28" s="12" t="n">
        <x:f>COUNTIFS(Tasks!B$5:B$602,A28,Tasks!F$5:F$602,"DONE")</x:f>
        <x:v>0</x:v>
      </x:c>
      <x:c r="G28" s="22" t="n">
        <x:f>IFERROR(F28/E28,0)</x:f>
        <x:v>0</x:v>
      </x:c>
      <x:c r="H28" s="12" t="str"/>
      <x:c r="I28" s="12" t="str">
        <x:v>ST-2401, ST-2402, ST-2403, ST-2404</x:v>
      </x:c>
    </x:row>
    <x:row r="29" ht="60" customHeight="1">
      <x:c r="A29" s="12" t="str">
        <x:v>S25</x:v>
      </x:c>
      <x:c r="B29" s="12" t="str">
        <x:v>Hoàn tất nội dung</x:v>
      </x:c>
      <x:c r="C29" s="12" t="str">
        <x:v>Ba ending và CH1 đầy đủ</x:v>
      </x:c>
      <x:c r="D29" s="12" t="str">
        <x:v>Ba ending và audit/polish/revisit CH01 đã quaG2, không hoãn puzzle đầu game tới cuối dự án.</x:v>
      </x:c>
      <x:c r="E29" s="12" t="n">
        <x:v>16</x:v>
      </x:c>
      <x:c r="F29" s="12" t="n">
        <x:f>COUNTIFS(Tasks!B$5:B$602,A29,Tasks!F$5:F$602,"DONE")</x:f>
        <x:v>0</x:v>
      </x:c>
      <x:c r="G29" s="22" t="n">
        <x:f>IFERROR(F29/E29,0)</x:f>
        <x:v>0</x:v>
      </x:c>
      <x:c r="H29" s="12" t="str"/>
      <x:c r="I29" s="12" t="str">
        <x:v>ST-2501, ST-2502, ST-2503, ST-2504</x:v>
      </x:c>
    </x:row>
    <x:row r="30" ht="60" customHeight="1">
      <x:c r="A30" s="12" t="str">
        <x:v>S26</x:v>
      </x:c>
      <x:c r="B30" s="12" t="str">
        <x:v>Hoàn tất nội dung</x:v>
      </x:c>
      <x:c r="C30" s="12" t="str">
        <x:v>Content complete và duyệt toàn bộ chiến dịch</x:v>
      </x:c>
      <x:c r="D30" s="12" t="str">
        <x:v>Từ New Game chơi qua đủ bảy đêm đến credits, không còn nội dung Must bị để trống.</x:v>
      </x:c>
      <x:c r="E30" s="12" t="n">
        <x:v>16</x:v>
      </x:c>
      <x:c r="F30" s="12" t="n">
        <x:f>COUNTIFS(Tasks!B$5:B$602,A30,Tasks!F$5:F$602,"DONE")</x:f>
        <x:v>0</x:v>
      </x:c>
      <x:c r="G30" s="22" t="n">
        <x:f>IFERROR(F30/E30,0)</x:f>
        <x:v>0</x:v>
      </x:c>
      <x:c r="H30" s="12" t="str">
        <x:v>G4 — Content Complete</x:v>
      </x:c>
      <x:c r="I30" s="12" t="str">
        <x:v>ST-2601, ST-2602, ST-2603, ST-2604</x:v>
      </x:c>
    </x:row>
    <x:row r="31" ht="60" customHeight="1">
      <x:c r="A31" s="12" t="str">
        <x:v>S27</x:v>
      </x:c>
      <x:c r="B31" s="12" t="str">
        <x:v>Alpha</x:v>
      </x:c>
      <x:c r="C31" s="12" t="str">
        <x:v>Alpha — sửa lỗi state và persistence</x:v>
      </x:c>
      <x:c r="D31" s="12" t="str">
        <x:v>Build đầy đủ chịu được quit/load/switch/skip/retry ở các tình huống rủi ro.</x:v>
      </x:c>
      <x:c r="E31" s="12" t="n">
        <x:v>16</x:v>
      </x:c>
      <x:c r="F31" s="12" t="n">
        <x:f>COUNTIFS(Tasks!B$5:B$602,A31,Tasks!F$5:F$602,"DONE")</x:f>
        <x:v>0</x:v>
      </x:c>
      <x:c r="G31" s="22" t="n">
        <x:f>IFERROR(F31/E31,0)</x:f>
        <x:v>0</x:v>
      </x:c>
      <x:c r="H31" s="12" t="str"/>
      <x:c r="I31" s="12" t="str">
        <x:v>ST-2701, ST-2702, ST-2703, ST-2704</x:v>
      </x:c>
    </x:row>
    <x:row r="32" ht="60" customHeight="1">
      <x:c r="A32" s="12" t="str">
        <x:v>S28</x:v>
      </x:c>
      <x:c r="B32" s="12" t="str">
        <x:v>Alpha</x:v>
      </x:c>
      <x:c r="C32" s="12" t="str">
        <x:v>Alpha — nhịp chơi, hint và trải nghiệm cảm xúc</x:v>
      </x:c>
      <x:c r="D32" s="12" t="str">
        <x:v>Chiến dịch giữ người chơi theo dõi bí ẩn, không kéo dài bằng đi bộ hoặc đọc thừa.</x:v>
      </x:c>
      <x:c r="E32" s="12" t="n">
        <x:v>16</x:v>
      </x:c>
      <x:c r="F32" s="12" t="n">
        <x:f>COUNTIFS(Tasks!B$5:B$602,A32,Tasks!F$5:F$602,"DONE")</x:f>
        <x:v>0</x:v>
      </x:c>
      <x:c r="G32" s="22" t="n">
        <x:f>IFERROR(F32/E32,0)</x:f>
        <x:v>0</x:v>
      </x:c>
      <x:c r="H32" s="12" t="str">
        <x:v>G5 — Alpha Exit</x:v>
      </x:c>
      <x:c r="I32" s="12" t="str">
        <x:v>ST-2801, ST-2802, ST-2803, ST-2804</x:v>
      </x:c>
    </x:row>
    <x:row r="33" ht="60" customHeight="1">
      <x:c r="A33" s="12" t="str">
        <x:v>S29</x:v>
      </x:c>
      <x:c r="B33" s="12" t="str">
        <x:v>Beta</x:v>
      </x:c>
      <x:c r="C33" s="12" t="str">
        <x:v>Beta — tiếng Anh và packaging quốc tế</x:v>
      </x:c>
      <x:c r="D33" s="12" t="str">
        <x:v>Toàn bộ câu chuyện/menus/captions có bản tiếng Anh có context, và UI chịu được text dài.</x:v>
      </x:c>
      <x:c r="E33" s="12" t="n">
        <x:v>16</x:v>
      </x:c>
      <x:c r="F33" s="12" t="n">
        <x:f>COUNTIFS(Tasks!B$5:B$602,A33,Tasks!F$5:F$602,"DONE")</x:f>
        <x:v>0</x:v>
      </x:c>
      <x:c r="G33" s="22" t="n">
        <x:f>IFERROR(F33/E33,0)</x:f>
        <x:v>0</x:v>
      </x:c>
      <x:c r="H33" s="12" t="str"/>
      <x:c r="I33" s="12" t="str">
        <x:v>ST-2901, ST-2902, ST-2903, ST-2904</x:v>
      </x:c>
    </x:row>
    <x:row r="34" ht="60" customHeight="1">
      <x:c r="A34" s="12" t="str">
        <x:v>S30</x:v>
      </x:c>
      <x:c r="B34" s="12" t="str">
        <x:v>Beta</x:v>
      </x:c>
      <x:c r="C34" s="12" t="str">
        <x:v>Beta — LQA toàn bộ và tương thích input</x:v>
      </x:c>
      <x:c r="D34" s="12" t="str">
        <x:v>Cả hai ngôn ngữ chơi được đến ba ending, controller và các tùy chỉnh không làm mất tiến trình.</x:v>
      </x:c>
      <x:c r="E34" s="12" t="n">
        <x:v>16</x:v>
      </x:c>
      <x:c r="F34" s="12" t="n">
        <x:f>COUNTIFS(Tasks!B$5:B$602,A34,Tasks!F$5:F$602,"DONE")</x:f>
        <x:v>0</x:v>
      </x:c>
      <x:c r="G34" s="22" t="n">
        <x:f>IFERROR(F34/E34,0)</x:f>
        <x:v>0</x:v>
      </x:c>
      <x:c r="H34" s="12" t="str">
        <x:v>G6 — Beta Exit</x:v>
      </x:c>
      <x:c r="I34" s="12" t="str">
        <x:v>ST-3001, ST-3002, ST-3003, ST-3004</x:v>
      </x:c>
    </x:row>
    <x:row r="35" ht="60" customHeight="1">
      <x:c r="A35" s="12" t="str">
        <x:v>S31</x:v>
      </x:c>
      <x:c r="B35" s="12" t="str">
        <x:v>Release hardening</x:v>
      </x:c>
      <x:c r="C35" s="12" t="str">
        <x:v>Hiệu năng và ổn định trên máy mục tiêu</x:v>
      </x:c>
      <x:c r="D35" s="12" t="str">
        <x:v>Game đạt ngân sách frame time/memory đã khóa, không chỉ chạy mượt trên máy dev.</x:v>
      </x:c>
      <x:c r="E35" s="12" t="n">
        <x:v>16</x:v>
      </x:c>
      <x:c r="F35" s="12" t="n">
        <x:f>COUNTIFS(Tasks!B$5:B$602,A35,Tasks!F$5:F$602,"DONE")</x:f>
        <x:v>0</x:v>
      </x:c>
      <x:c r="G35" s="22" t="n">
        <x:f>IFERROR(F35/E35,0)</x:f>
        <x:v>0</x:v>
      </x:c>
      <x:c r="H35" s="12" t="str"/>
      <x:c r="I35" s="12" t="str">
        <x:v>ST-3101, ST-3102, ST-3103, ST-3104</x:v>
      </x:c>
    </x:row>
    <x:row r="36" ht="60" customHeight="1">
      <x:c r="A36" s="12" t="str">
        <x:v>S32</x:v>
      </x:c>
      <x:c r="B36" s="12" t="str">
        <x:v>Release hardening</x:v>
      </x:c>
      <x:c r="C36" s="12" t="str">
        <x:v>Store, bản quyền và gói bán</x:v>
      </x:c>
      <x:c r="D36" s="12" t="str">
        <x:v>Product build và thông tin thương mại sẵn sàng nộp nền tảng, không có nội dung quảng cáo sai.</x:v>
      </x:c>
      <x:c r="E36" s="12" t="n">
        <x:v>16</x:v>
      </x:c>
      <x:c r="F36" s="12" t="n">
        <x:f>COUNTIFS(Tasks!B$5:B$602,A36,Tasks!F$5:F$602,"DONE")</x:f>
        <x:v>0</x:v>
      </x:c>
      <x:c r="G36" s="22" t="n">
        <x:f>IFERROR(F36/E36,0)</x:f>
        <x:v>0</x:v>
      </x:c>
      <x:c r="H36" s="12" t="str"/>
      <x:c r="I36" s="12" t="str">
        <x:v>ST-3201, ST-3202, ST-3203, ST-3204</x:v>
      </x:c>
    </x:row>
    <x:row r="37" ht="60" customHeight="1">
      <x:c r="A37" s="12" t="str">
        <x:v>S33</x:v>
      </x:c>
      <x:c r="B37" s="12" t="str">
        <x:v>Release candidate</x:v>
      </x:c>
      <x:c r="C37" s="12" t="str">
        <x:v>Release Candidate 1 và diễn tập vận hành</x:v>
      </x:c>
      <x:c r="D37" s="12" t="str">
        <x:v>Có RC tái tạo được, hỗ trợ người chơi và rollback đã diễn tập trước ngày bán.</x:v>
      </x:c>
      <x:c r="E37" s="12" t="n">
        <x:v>16</x:v>
      </x:c>
      <x:c r="F37" s="12" t="n">
        <x:f>COUNTIFS(Tasks!B$5:B$602,A37,Tasks!F$5:F$602,"DONE")</x:f>
        <x:v>0</x:v>
      </x:c>
      <x:c r="G37" s="22" t="n">
        <x:f>IFERROR(F37/E37,0)</x:f>
        <x:v>0</x:v>
      </x:c>
      <x:c r="H37" s="12" t="str"/>
      <x:c r="I37" s="12" t="str">
        <x:v>ST-3301, ST-3302, ST-3303, ST-3304</x:v>
      </x:c>
    </x:row>
    <x:row r="38" ht="60" customHeight="1">
      <x:c r="A38" s="12" t="str">
        <x:v>S34</x:v>
      </x:c>
      <x:c r="B38" s="12" t="str">
        <x:v>Release candidate</x:v>
      </x:c>
      <x:c r="C38" s="12" t="str">
        <x:v>Release Candidate cuối và Go/No-Go</x:v>
      </x:c>
      <x:c r="D38" s="12" t="str">
        <x:v>Không phát hành khi còn lỗi chặn, thiếu quyền hoặc nền tảng chưa duyệt.</x:v>
      </x:c>
      <x:c r="E38" s="12" t="n">
        <x:v>16</x:v>
      </x:c>
      <x:c r="F38" s="12" t="n">
        <x:f>COUNTIFS(Tasks!B$5:B$602,A38,Tasks!F$5:F$602,"DONE")</x:f>
        <x:v>0</x:v>
      </x:c>
      <x:c r="G38" s="22" t="n">
        <x:f>IFERROR(F38/E38,0)</x:f>
        <x:v>0</x:v>
      </x:c>
      <x:c r="H38" s="12" t="str">
        <x:v>G7 — Release Ready</x:v>
      </x:c>
      <x:c r="I38" s="12" t="str">
        <x:v>ST-3401, ST-3402, ST-3403, ST-3404</x:v>
      </x:c>
    </x:row>
    <x:row r="39" ht="60" customHeight="1">
      <x:c r="A39" s="12" t="str">
        <x:v>S35</x:v>
      </x:c>
      <x:c r="B39" s="12" t="str">
        <x:v>Launch</x:v>
      </x:c>
      <x:c r="C39" s="12" t="str">
        <x:v>Phát hành 1.0</x:v>
      </x:c>
      <x:c r="D39" s="12" t="str">
        <x:v>Game đầy đủ được người mua tải, cài, chơi và hoàn thành qua kênh đã chọn.</x:v>
      </x:c>
      <x:c r="E39" s="12" t="n">
        <x:v>16</x:v>
      </x:c>
      <x:c r="F39" s="12" t="n">
        <x:f>COUNTIFS(Tasks!B$5:B$602,A39,Tasks!F$5:F$602,"DONE")</x:f>
        <x:v>0</x:v>
      </x:c>
      <x:c r="G39" s="22" t="n">
        <x:f>IFERROR(F39/E39,0)</x:f>
        <x:v>0</x:v>
      </x:c>
      <x:c r="H39" s="12" t="str">
        <x:v>G8 — 1.0 Published</x:v>
      </x:c>
      <x:c r="I39" s="12" t="str">
        <x:v>ST-3501, ST-3502, ST-3503, ST-3504</x:v>
      </x:c>
    </x:row>
    <x:row r="40" ht="60" customHeight="1">
      <x:c r="A40" s="12" t="str">
        <x:v>S36</x:v>
      </x:c>
      <x:c r="B40" s="12" t="str">
        <x:v>Hypercare</x:v>
      </x:c>
      <x:c r="C40" s="12" t="str">
        <x:v>Ổn định sau phát hành và đóng dự án 1.0</x:v>
      </x:c>
      <x:c r="D40" s="12" t="str">
        <x:v>Bản 1.0 ổn định, source/assets/quy trình bảo trì được bàn giao đầy đủ.</x:v>
      </x:c>
      <x:c r="E40" s="12" t="n">
        <x:v>16</x:v>
      </x:c>
      <x:c r="F40" s="12" t="n">
        <x:f>COUNTIFS(Tasks!B$5:B$602,A40,Tasks!F$5:F$602,"DONE")</x:f>
        <x:v>0</x:v>
      </x:c>
      <x:c r="G40" s="22" t="n">
        <x:f>IFERROR(F40/E40,0)</x:f>
        <x:v>0</x:v>
      </x:c>
      <x:c r="H40" s="12" t="str">
        <x:v>G9 — Handover</x:v>
      </x:c>
      <x:c r="I40" s="12" t="str">
        <x:v>ST-3601, ST-3602, ST-3603, ST-3604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d79ea1c1c81472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9" hidden="0" customWidth="1"/>
    <x:col min="3" max="3" width="39" hidden="0" customWidth="1"/>
    <x:col min="4" max="4" width="45" hidden="0" customWidth="1"/>
    <x:col min="5" max="5" width="27" hidden="0" customWidth="1"/>
    <x:col min="6" max="6" width="10" hidden="0" customWidth="1"/>
    <x:col min="7" max="7" width="10" hidden="0" customWidth="1"/>
    <x:col min="8" max="8" width="15" hidden="0" customWidth="1"/>
    <x:col min="9" max="9" width="21" hidden="0" customWidth="1"/>
  </x:cols>
  <x:sheetData>
    <x:row r="1" ht="36" customHeight="1">
      <x:c r="A1" s="3" t="str">
        <x:v>STORIES / outcomes and completion</x:v>
      </x:c>
      <x:c r="B1" s="3"/>
      <x:c r="C1" s="3"/>
      <x:c r="D1" s="3"/>
      <x:c r="E1" s="3"/>
      <x:c r="F1" s="3"/>
      <x:c r="G1" s="3"/>
      <x:c r="H1" s="3"/>
      <x:c r="I1" s="3"/>
    </x:row>
    <x:row r="2" ht="31" customHeight="1">
      <x:c r="A2" s="7" t="str">
        <x:v>146 stories • DONE chỉ được suy ra từ task đã nghiệm thu; không thay chất lượng game.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8" t="str">
        <x:v>Story ID</x:v>
      </x:c>
      <x:c r="B4" s="18" t="str">
        <x:v>Wave</x:v>
      </x:c>
      <x:c r="C4" s="18" t="str">
        <x:v>Title</x:v>
      </x:c>
      <x:c r="D4" s="18" t="str">
        <x:v>Outcome</x:v>
      </x:c>
      <x:c r="E4" s="18" t="str">
        <x:v>Dependencies</x:v>
      </x:c>
      <x:c r="F4" s="18" t="str">
        <x:v>Tasks</x:v>
      </x:c>
      <x:c r="G4" s="18" t="str">
        <x:v>Done</x:v>
      </x:c>
      <x:c r="H4" s="18" t="str">
        <x:v>Done / total</x:v>
      </x:c>
      <x:c r="I4" s="18" t="str">
        <x:v>Requirements</x:v>
      </x:c>
    </x:row>
    <x:row r="5" ht="58" customHeight="1">
      <x:c r="A5" s="12" t="str">
        <x:v>ST-0101</x:v>
      </x:c>
      <x:c r="B5" s="12" t="str">
        <x:v>S01</x:v>
      </x:c>
      <x:c r="C5" s="12" t="str">
        <x:v>Khóa định nghĩa Full Game 1.0</x:v>
      </x:c>
      <x:c r="D5" s="12" t="str">
        <x:v>Agent xác định được chính xác sản phẩm phải bàn giao và hạng mục nào không thuộc 1.0.</x:v>
      </x:c>
      <x:c r="E5" s="12" t="str"/>
      <x:c r="F5" s="12" t="n">
        <x:v>4</x:v>
      </x:c>
      <x:c r="G5" s="12" t="n">
        <x:f>COUNTIFS(Tasks!C$5:C$602,A5,Tasks!F$5:F$602,"DONE")</x:f>
        <x:v>4</x:v>
      </x:c>
      <x:c r="H5" s="22" t="n">
        <x:f>IFERROR(G5/F5,0)</x:f>
        <x:v>1</x:v>
      </x:c>
      <x:c r="I5" s="12" t="str">
        <x:v>R01, R18</x:v>
      </x:c>
    </x:row>
    <x:row r="6" ht="58" customHeight="1">
      <x:c r="A6" s="12" t="str">
        <x:v>ST-0102</x:v>
      </x:c>
      <x:c r="B6" s="12" t="str">
        <x:v>S01</x:v>
      </x:c>
      <x:c r="C6" s="12" t="str">
        <x:v>Đóng các lỗ hổng canon trước khi dựng cảnh</x:v>
      </x:c>
      <x:c r="D6" s="12" t="str">
        <x:v>Người chơi được trải nghiệm bí ẩn có lời giải nhất quán thay vì twist tự mâu thuẫn.</x:v>
      </x:c>
      <x:c r="E6" s="12" t="str">
        <x:v>ST-0101</x:v>
      </x:c>
      <x:c r="F6" s="12" t="n">
        <x:v>4</x:v>
      </x:c>
      <x:c r="G6" s="12" t="n">
        <x:f>COUNTIFS(Tasks!C$5:C$602,A6,Tasks!F$5:F$602,"DONE")</x:f>
        <x:v>4</x:v>
      </x:c>
      <x:c r="H6" s="22" t="n">
        <x:f>IFERROR(G6/F6,0)</x:f>
        <x:v>1</x:v>
      </x:c>
      <x:c r="I6" s="12" t="str">
        <x:v>R01, R02</x:v>
      </x:c>
    </x:row>
    <x:row r="7" ht="58" customHeight="1">
      <x:c r="A7" s="12" t="str">
        <x:v>ST-0103</x:v>
      </x:c>
      <x:c r="B7" s="12" t="str">
        <x:v>S01</x:v>
      </x:c>
      <x:c r="C7" s="12" t="str">
        <x:v>Bootstrap Godot 3D và build có phiên bản</x:v>
      </x:c>
      <x:c r="D7" s="12" t="str">
        <x:v>Developer mở repository và chạy cùng một môi trường kỹ thuật.</x:v>
      </x:c>
      <x:c r="E7" s="12" t="str">
        <x:v>ST-0101</x:v>
      </x:c>
      <x:c r="F7" s="12" t="n">
        <x:v>4</x:v>
      </x:c>
      <x:c r="G7" s="12" t="n">
        <x:f>COUNTIFS(Tasks!C$5:C$602,A7,Tasks!F$5:F$602,"DONE")</x:f>
        <x:v>4</x:v>
      </x:c>
      <x:c r="H7" s="22" t="n">
        <x:f>IFERROR(G7/F7,0)</x:f>
        <x:v>1</x:v>
      </x:c>
      <x:c r="I7" s="12" t="str">
        <x:v>R03, R17</x:v>
      </x:c>
    </x:row>
    <x:row r="8" ht="58" customHeight="1">
      <x:c r="A8" s="12" t="str">
        <x:v>ST-0104</x:v>
      </x:c>
      <x:c r="B8" s="12" t="str">
        <x:v>S01</x:v>
      </x:c>
      <x:c r="C8" s="12" t="str">
        <x:v>Mở sổ rủi ro và nghiệm thu Sprint 1</x:v>
      </x:c>
      <x:c r="D8" s="12" t="str">
        <x:v>Agent kiểm chứng bằng chứng thay vì phần trăm hoàn thành do agent tự báo.</x:v>
      </x:c>
      <x:c r="E8" s="12" t="str">
        <x:v>ST-0102, ST-0103</x:v>
      </x:c>
      <x:c r="F8" s="12" t="n">
        <x:v>4</x:v>
      </x:c>
      <x:c r="G8" s="12" t="n">
        <x:f>COUNTIFS(Tasks!C$5:C$602,A8,Tasks!F$5:F$602,"DONE")</x:f>
        <x:v>4</x:v>
      </x:c>
      <x:c r="H8" s="22" t="n">
        <x:f>IFERROR(G8/F8,0)</x:f>
        <x:v>1</x:v>
      </x:c>
      <x:c r="I8" s="12" t="str">
        <x:v>R18</x:v>
      </x:c>
    </x:row>
    <x:row r="9" ht="58" customHeight="1">
      <x:c r="A9" s="12" t="str">
        <x:v>ST-0201</x:v>
      </x:c>
      <x:c r="B9" s="12" t="str">
        <x:v>S02</x:v>
      </x:c>
      <x:c r="C9" s="12" t="str">
        <x:v>Minh di chuyển ổn định trong không gian 3D</x:v>
      </x:c>
      <x:c r="D9" s="12" t="str">
        <x:v>Người chơi điều khiển Minh trên X/Z, đi quanh chướng ngại trong hành lang.</x:v>
      </x:c>
      <x:c r="E9" s="12" t="str">
        <x:v>ST-0103</x:v>
      </x:c>
      <x:c r="F9" s="12" t="n">
        <x:v>4</x:v>
      </x:c>
      <x:c r="G9" s="12" t="n">
        <x:f>COUNTIFS(Tasks!C$5:C$602,A9,Tasks!F$5:F$602,"DONE")</x:f>
        <x:v>3</x:v>
      </x:c>
      <x:c r="H9" s="22" t="n">
        <x:f>IFERROR(G9/F9,0)</x:f>
        <x:v>0.75</x:v>
      </x:c>
      <x:c r="I9" s="12" t="str">
        <x:v>R03</x:v>
      </x:c>
    </x:row>
    <x:row r="10" ht="58" customHeight="1">
      <x:c r="A10" s="12" t="str">
        <x:v>ST-0202</x:v>
      </x:c>
      <x:c r="B10" s="12" t="str">
        <x:v>S02</x:v>
      </x:c>
      <x:c r="C10" s="12" t="str">
        <x:v>Camera cinematic giữ hướng đi dễ đọc</x:v>
      </x:c>
      <x:c r="D10" s="12" t="str">
        <x:v>Người chơi nhận biết chiều sâu và điểm tương tác mà không cần xoay camera.</x:v>
      </x:c>
      <x:c r="E10" s="12" t="str">
        <x:v>ST-0201</x:v>
      </x:c>
      <x:c r="F10" s="12" t="n">
        <x:v>4</x:v>
      </x:c>
      <x:c r="G10" s="12" t="n">
        <x:f>COUNTIFS(Tasks!C$5:C$602,A10,Tasks!F$5:F$602,"DONE")</x:f>
        <x:v>0</x:v>
      </x:c>
      <x:c r="H10" s="22" t="n">
        <x:f>IFERROR(G10/F10,0)</x:f>
        <x:v>0</x:v>
      </x:c>
      <x:c r="I10" s="12" t="str">
        <x:v>R03</x:v>
      </x:c>
    </x:row>
    <x:row r="11" ht="58" customHeight="1">
      <x:c r="A11" s="12" t="str">
        <x:v>ST-0203</x:v>
      </x:c>
      <x:c r="B11" s="12" t="str">
        <x:v>S02</x:v>
      </x:c>
      <x:c r="C11" s="12" t="str">
        <x:v>Chốt tỷ lệ art qua một street kit thử nghiệm</x:v>
      </x:c>
      <x:c r="D11" s="12" t="str">
        <x:v>Team có tỷ lệ người/cửa/nhà thống nhất trước khi sản xuất assets.</x:v>
      </x:c>
      <x:c r="E11" s="12" t="str">
        <x:v>ST-0104</x:v>
      </x:c>
      <x:c r="F11" s="12" t="n">
        <x:v>4</x:v>
      </x:c>
      <x:c r="G11" s="12" t="n">
        <x:f>COUNTIFS(Tasks!C$5:C$602,A11,Tasks!F$5:F$602,"DONE")</x:f>
        <x:v>0</x:v>
      </x:c>
      <x:c r="H11" s="22" t="n">
        <x:f>IFERROR(G11/F11,0)</x:f>
        <x:v>0</x:v>
      </x:c>
      <x:c r="I11" s="12" t="str">
        <x:v>R12</x:v>
      </x:c>
    </x:row>
    <x:row r="12" ht="58" customHeight="1">
      <x:c r="A12" s="12" t="str">
        <x:v>ST-0204</x:v>
      </x:c>
      <x:c r="B12" s="12" t="str">
        <x:v>S02</x:v>
      </x:c>
      <x:c r="C12" s="12" t="str">
        <x:v>Nghiệm thu sandbox traversal</x:v>
      </x:c>
      <x:c r="D12" s="12" t="str">
        <x:v>Agent xác định được camera/movement có đủ tốt để đầu tư cơ chế hai thế giới.</x:v>
      </x:c>
      <x:c r="E12" s="12" t="str">
        <x:v>ST-0202, ST-0203</x:v>
      </x:c>
      <x:c r="F12" s="12" t="n">
        <x:v>4</x:v>
      </x:c>
      <x:c r="G12" s="12" t="n">
        <x:f>COUNTIFS(Tasks!C$5:C$602,A12,Tasks!F$5:F$602,"DONE")</x:f>
        <x:v>0</x:v>
      </x:c>
      <x:c r="H12" s="22" t="n">
        <x:f>IFERROR(G12/F12,0)</x:f>
        <x:v>0</x:v>
      </x:c>
      <x:c r="I12" s="12" t="str">
        <x:v>R03, R14</x:v>
      </x:c>
    </x:row>
    <x:row r="13" ht="58" customHeight="1">
      <x:c r="A13" s="12" t="str">
        <x:v>ST-0301</x:v>
      </x:c>
      <x:c r="B13" s="12" t="str">
        <x:v>S03</x:v>
      </x:c>
      <x:c r="C13" s="12" t="str">
        <x:v>Hai thực tại có cùng nguồn state</x:v>
      </x:c>
      <x:c r="D13" s="12" t="str">
        <x:v>Người chơi đổi thế giới bằng đèn và thấy physics, interaction, visual cùng chuyển.</x:v>
      </x:c>
      <x:c r="E13" s="12" t="str">
        <x:v>ST-0204</x:v>
      </x:c>
      <x:c r="F13" s="12" t="n">
        <x:v>4</x:v>
      </x:c>
      <x:c r="G13" s="12" t="n">
        <x:f>COUNTIFS(Tasks!C$5:C$602,A13,Tasks!F$5:F$602,"DONE")</x:f>
        <x:v>0</x:v>
      </x:c>
      <x:c r="H13" s="22" t="n">
        <x:f>IFERROR(G13/F13,0)</x:f>
        <x:v>0</x:v>
      </x:c>
      <x:c r="I13" s="12" t="str">
        <x:v>R04</x:v>
      </x:c>
    </x:row>
    <x:row r="14" ht="58" customHeight="1">
      <x:c r="A14" s="12" t="str">
        <x:v>ST-0302</x:v>
      </x:c>
      <x:c r="B14" s="12" t="str">
        <x:v>S03</x:v>
      </x:c>
      <x:c r="C14" s="12" t="str">
        <x:v>Từ chối switch ở điểm đứng không an toàn</x:v>
      </x:c>
      <x:c r="D14" s="12" t="str">
        <x:v>Người chơi không bị nhốt trong tường hoặc mất sàn sau khi đổi thực tại.</x:v>
      </x:c>
      <x:c r="E14" s="12" t="str">
        <x:v>ST-0301</x:v>
      </x:c>
      <x:c r="F14" s="12" t="n">
        <x:v>4</x:v>
      </x:c>
      <x:c r="G14" s="12" t="n">
        <x:f>COUNTIFS(Tasks!C$5:C$602,A14,Tasks!F$5:F$602,"DONE")</x:f>
        <x:v>0</x:v>
      </x:c>
      <x:c r="H14" s="22" t="n">
        <x:f>IFERROR(G14/F14,0)</x:f>
        <x:v>0</x:v>
      </x:c>
      <x:c r="I14" s="12" t="str">
        <x:v>R04</x:v>
      </x:c>
    </x:row>
    <x:row r="15" ht="58" customHeight="1">
      <x:c r="A15" s="12" t="str">
        <x:v>ST-0303</x:v>
      </x:c>
      <x:c r="B15" s="12" t="str">
        <x:v>S03</x:v>
      </x:c>
      <x:c r="C15" s="12" t="str">
        <x:v>Phân biệt hai thế giới mà vẫn đọc được cảnh</x:v>
      </x:c>
      <x:c r="D15" s="12" t="str">
        <x:v>Người chơi nhận biết phase bằng hình ảnh/âm thanh và không cần phân biệt màu.</x:v>
      </x:c>
      <x:c r="E15" s="12" t="str">
        <x:v>ST-0301, ST-0203</x:v>
      </x:c>
      <x:c r="F15" s="12" t="n">
        <x:v>4</x:v>
      </x:c>
      <x:c r="G15" s="12" t="n">
        <x:f>COUNTIFS(Tasks!C$5:C$602,A15,Tasks!F$5:F$602,"DONE")</x:f>
        <x:v>0</x:v>
      </x:c>
      <x:c r="H15" s="22" t="n">
        <x:f>IFERROR(G15/F15,0)</x:f>
        <x:v>0</x:v>
      </x:c>
      <x:c r="I15" s="12" t="str">
        <x:v>R04, R12, R13</x:v>
      </x:c>
    </x:row>
    <x:row r="16" ht="58" customHeight="1">
      <x:c r="A16" s="12" t="str">
        <x:v>ST-0304</x:v>
      </x:c>
      <x:c r="B16" s="12" t="str">
        <x:v>S03</x:v>
      </x:c>
      <x:c r="C16" s="12" t="str">
        <x:v>Kiểm thử transaction hai thế giới</x:v>
      </x:c>
      <x:c r="D16" s="12" t="str">
        <x:v>Team có bằng chứng world switch hoạt động trước khi thêm puzzle.</x:v>
      </x:c>
      <x:c r="E16" s="12" t="str">
        <x:v>ST-0302, ST-0303</x:v>
      </x:c>
      <x:c r="F16" s="12" t="n">
        <x:v>4</x:v>
      </x:c>
      <x:c r="G16" s="12" t="n">
        <x:f>COUNTIFS(Tasks!C$5:C$602,A16,Tasks!F$5:F$602,"DONE")</x:f>
        <x:v>0</x:v>
      </x:c>
      <x:c r="H16" s="22" t="n">
        <x:f>IFERROR(G16/F16,0)</x:f>
        <x:v>0</x:v>
      </x:c>
      <x:c r="I16" s="12" t="str">
        <x:v>R04, R14</x:v>
      </x:c>
    </x:row>
    <x:row r="17" ht="58" customHeight="1">
      <x:c r="A17" s="12" t="str">
        <x:v>ST-0401</x:v>
      </x:c>
      <x:c r="B17" s="12" t="str">
        <x:v>S04</x:v>
      </x:c>
      <x:c r="C17" s="12" t="str">
        <x:v>Tương tác đúng vật ở đúng thực tại</x:v>
      </x:c>
      <x:c r="D17" s="12" t="str">
        <x:v>Người chơi nhặt đồ/mở cửa theo khoảng cách và tầm nhìn hợp lệ.</x:v>
      </x:c>
      <x:c r="E17" s="12" t="str">
        <x:v>ST-0304</x:v>
      </x:c>
      <x:c r="F17" s="12" t="n">
        <x:v>4</x:v>
      </x:c>
      <x:c r="G17" s="12" t="n">
        <x:f>COUNTIFS(Tasks!C$5:C$602,A17,Tasks!F$5:F$602,"DONE")</x:f>
        <x:v>0</x:v>
      </x:c>
      <x:c r="H17" s="22" t="n">
        <x:f>IFERROR(G17/F17,0)</x:f>
        <x:v>0</x:v>
      </x:c>
      <x:c r="I17" s="12" t="str">
        <x:v>R05</x:v>
      </x:c>
    </x:row>
    <x:row r="18" ht="58" customHeight="1">
      <x:c r="A18" s="12" t="str">
        <x:v>ST-0402</x:v>
      </x:c>
      <x:c r="B18" s="12" t="str">
        <x:v>S04</x:v>
      </x:c>
      <x:c r="C18" s="12" t="str">
        <x:v>Hoàn thành câu đố hai thế giới đầu tiên</x:v>
      </x:c>
      <x:c r="D18" s="12" t="str">
        <x:v>Người chơi buộc dùng khác biệt vật lý giữa hai phase để lấy bằng chứng.</x:v>
      </x:c>
      <x:c r="E18" s="12" t="str">
        <x:v>ST-0401</x:v>
      </x:c>
      <x:c r="F18" s="12" t="n">
        <x:v>4</x:v>
      </x:c>
      <x:c r="G18" s="12" t="n">
        <x:f>COUNTIFS(Tasks!C$5:C$602,A18,Tasks!F$5:F$602,"DONE")</x:f>
        <x:v>0</x:v>
      </x:c>
      <x:c r="H18" s="22" t="n">
        <x:f>IFERROR(G18/F18,0)</x:f>
        <x:v>0</x:v>
      </x:c>
      <x:c r="I18" s="12" t="str">
        <x:v>R06</x:v>
      </x:c>
    </x:row>
    <x:row r="19" ht="58" customHeight="1">
      <x:c r="A19" s="12" t="str">
        <x:v>ST-0403</x:v>
      </x:c>
      <x:c r="B19" s="12" t="str">
        <x:v>S04</x:v>
      </x:c>
      <x:c r="C19" s="12" t="str">
        <x:v>QA_AGENT đánh giá P0 bằng năm profile tái lập</x:v>
      </x:c>
      <x:c r="D19" s="12" t="str">
        <x:v>Phát hiện softlock và lỗi hiểu cue qua agent runtime review, không giả lập nghiên cứu người dùng.</x:v>
      </x:c>
      <x:c r="E19" s="12" t="str">
        <x:v>ST-0402</x:v>
      </x:c>
      <x:c r="F19" s="12" t="n">
        <x:v>4</x:v>
      </x:c>
      <x:c r="G19" s="12" t="n">
        <x:f>COUNTIFS(Tasks!C$5:C$602,A19,Tasks!F$5:F$602,"DONE")</x:f>
        <x:v>0</x:v>
      </x:c>
      <x:c r="H19" s="22" t="n">
        <x:f>IFERROR(G19/F19,0)</x:f>
        <x:v>0</x:v>
      </x:c>
      <x:c r="I19" s="12" t="str">
        <x:v>R14</x:v>
      </x:c>
    </x:row>
    <x:row r="20" ht="58" customHeight="1">
      <x:c r="A20" s="12" t="str">
        <x:v>ST-0404</x:v>
      </x:c>
      <x:c r="B20" s="12" t="str">
        <x:v>S04</x:v>
      </x:c>
      <x:c r="C20" s="12" t="str">
        <x:v>Chốt Technical Prototype và đánh giá lại đường găng</x:v>
      </x:c>
      <x:c r="D20" s="12" t="str">
        <x:v>Dự án chỉ đầu tư vertical slice khi technical risk đã được kiểm chứng.</x:v>
      </x:c>
      <x:c r="E20" s="12" t="str">
        <x:v>ST-0403</x:v>
      </x:c>
      <x:c r="F20" s="12" t="n">
        <x:v>4</x:v>
      </x:c>
      <x:c r="G20" s="12" t="n">
        <x:f>COUNTIFS(Tasks!C$5:C$602,A20,Tasks!F$5:F$602,"DONE")</x:f>
        <x:v>0</x:v>
      </x:c>
      <x:c r="H20" s="22" t="n">
        <x:f>IFERROR(G20/F20,0)</x:f>
        <x:v>0</x:v>
      </x:c>
      <x:c r="I20" s="12" t="str">
        <x:v>R14, R18</x:v>
      </x:c>
    </x:row>
    <x:row r="21" ht="58" customHeight="1">
      <x:c r="A21" s="12" t="str">
        <x:v>ST-0501</x:v>
      </x:c>
      <x:c r="B21" s="12" t="str">
        <x:v>S05</x:v>
      </x:c>
      <x:c r="C21" s="12" t="str">
        <x:v>Quản lý cờ truyện và trigger idempotent</x:v>
      </x:c>
      <x:c r="D21" s="12" t="str">
        <x:v>Người chơi nhận đúng hội thoại/sự kiện dù quay lại khu vực hoặc load game.</x:v>
      </x:c>
      <x:c r="E21" s="12" t="str">
        <x:v>ST-0404</x:v>
      </x:c>
      <x:c r="F21" s="12" t="n">
        <x:v>4</x:v>
      </x:c>
      <x:c r="G21" s="12" t="n">
        <x:f>COUNTIFS(Tasks!C$5:C$602,A21,Tasks!F$5:F$602,"DONE")</x:f>
        <x:v>0</x:v>
      </x:c>
      <x:c r="H21" s="22" t="n">
        <x:f>IFERROR(G21/F21,0)</x:f>
        <x:v>0</x:v>
      </x:c>
      <x:c r="I21" s="12" t="str">
        <x:v>R07</x:v>
      </x:c>
    </x:row>
    <x:row r="22" ht="58" customHeight="1">
      <x:c r="A22" s="12" t="str">
        <x:v>ST-0502</x:v>
      </x:c>
      <x:c r="B22" s="12" t="str">
        <x:v>S05</x:v>
      </x:c>
      <x:c r="C22" s="12" t="str">
        <x:v>Checkpoint lưu và khôi phục an toàn</x:v>
      </x:c>
      <x:c r="D22" s="12" t="str">
        <x:v>Người chơi thoát game và tiếp tục từ checkpoint mà không mất tiến trình hợp lệ.</x:v>
      </x:c>
      <x:c r="E22" s="12" t="str">
        <x:v>ST-0501</x:v>
      </x:c>
      <x:c r="F22" s="12" t="n">
        <x:v>4</x:v>
      </x:c>
      <x:c r="G22" s="12" t="n">
        <x:f>COUNTIFS(Tasks!C$5:C$602,A22,Tasks!F$5:F$602,"DONE")</x:f>
        <x:v>0</x:v>
      </x:c>
      <x:c r="H22" s="22" t="n">
        <x:f>IFERROR(G22/F22,0)</x:f>
        <x:v>0</x:v>
      </x:c>
      <x:c r="I22" s="12" t="str">
        <x:v>R08</x:v>
      </x:c>
    </x:row>
    <x:row r="23" ht="58" customHeight="1">
      <x:c r="A23" s="12" t="str">
        <x:v>ST-0503</x:v>
      </x:c>
      <x:c r="B23" s="12" t="str">
        <x:v>S05</x:v>
      </x:c>
      <x:c r="C23" s="12" t="str">
        <x:v>Sản xuất nhân vật Minh bản dùng được</x:v>
      </x:c>
      <x:c r="D23" s="12" t="str">
        <x:v>Minh có silhouette và rig phù hợp camera gameplay, không còn capsule retail.</x:v>
      </x:c>
      <x:c r="E23" s="12" t="str">
        <x:v>ST-0203, ST-0404</x:v>
      </x:c>
      <x:c r="F23" s="12" t="n">
        <x:v>4</x:v>
      </x:c>
      <x:c r="G23" s="12" t="n">
        <x:f>COUNTIFS(Tasks!C$5:C$602,A23,Tasks!F$5:F$602,"DONE")</x:f>
        <x:v>0</x:v>
      </x:c>
      <x:c r="H23" s="22" t="n">
        <x:f>IFERROR(G23/F23,0)</x:f>
        <x:v>0</x:v>
      </x:c>
      <x:c r="I23" s="12" t="str">
        <x:v>R12</x:v>
      </x:c>
    </x:row>
    <x:row r="24" ht="58" customHeight="1">
      <x:c r="A24" s="12" t="str">
        <x:v>ST-0504</x:v>
      </x:c>
      <x:c r="B24" s="12" t="str">
        <x:v>S05</x:v>
      </x:c>
      <x:c r="C24" s="12" t="str">
        <x:v>Tích hợp story-save trong một scene thử</x:v>
      </x:c>
      <x:c r="D24" s="12" t="str">
        <x:v>Team kiểm chứng persistence trước khi thêm nhiều nội dung.</x:v>
      </x:c>
      <x:c r="E24" s="12" t="str">
        <x:v>ST-0502, ST-0503</x:v>
      </x:c>
      <x:c r="F24" s="12" t="n">
        <x:v>4</x:v>
      </x:c>
      <x:c r="G24" s="12" t="n">
        <x:f>COUNTIFS(Tasks!C$5:C$602,A24,Tasks!F$5:F$602,"DONE")</x:f>
        <x:v>0</x:v>
      </x:c>
      <x:c r="H24" s="22" t="n">
        <x:f>IFERROR(G24/F24,0)</x:f>
        <x:v>0</x:v>
      </x:c>
      <x:c r="I24" s="12" t="str">
        <x:v>R07, R08</x:v>
      </x:c>
    </x:row>
    <x:row r="25" ht="58" customHeight="1">
      <x:c r="A25" s="12" t="str">
        <x:v>ST-0601</x:v>
      </x:c>
      <x:c r="B25" s="12" t="str">
        <x:v>S06</x:v>
      </x:c>
      <x:c r="C25" s="12" t="str">
        <x:v>Hội thoại có điều kiện và localization keys</x:v>
      </x:c>
      <x:c r="D25" s="12" t="str">
        <x:v>Người chơi nghe NPC phủ nhận ngôi nhà sau sự kiện, không thấy lời thoại trước đó.</x:v>
      </x:c>
      <x:c r="E25" s="12" t="str">
        <x:v>ST-0504</x:v>
      </x:c>
      <x:c r="F25" s="12" t="n">
        <x:v>4</x:v>
      </x:c>
      <x:c r="G25" s="12" t="n">
        <x:f>COUNTIFS(Tasks!C$5:C$602,A25,Tasks!F$5:F$602,"DONE")</x:f>
        <x:v>0</x:v>
      </x:c>
      <x:c r="H25" s="22" t="n">
        <x:f>IFERROR(G25/F25,0)</x:f>
        <x:v>0</x:v>
      </x:c>
      <x:c r="I25" s="12" t="str">
        <x:v>R07, R11, R16</x:v>
      </x:c>
    </x:row>
    <x:row r="26" ht="58" customHeight="1">
      <x:c r="A26" s="12" t="str">
        <x:v>ST-0602</x:v>
      </x:c>
      <x:c r="B26" s="12" t="str">
        <x:v>S06</x:v>
      </x:c>
      <x:c r="C26" s="12" t="str">
        <x:v>Cinematic có skip an toàn</x:v>
      </x:c>
      <x:c r="D26" s="12" t="str">
        <x:v>Người chơi xem hoặc bỏ qua cảnh quan trọng đều đến cùng trạng thái gameplay.</x:v>
      </x:c>
      <x:c r="E26" s="12" t="str">
        <x:v>ST-0601</x:v>
      </x:c>
      <x:c r="F26" s="12" t="n">
        <x:v>4</x:v>
      </x:c>
      <x:c r="G26" s="12" t="n">
        <x:f>COUNTIFS(Tasks!C$5:C$602,A26,Tasks!F$5:F$602,"DONE")</x:f>
        <x:v>0</x:v>
      </x:c>
      <x:c r="H26" s="22" t="n">
        <x:f>IFERROR(G26/F26,0)</x:f>
        <x:v>0</x:v>
      </x:c>
      <x:c r="I26" s="12" t="str">
        <x:v>R07, R08</x:v>
      </x:c>
    </x:row>
    <x:row r="27" ht="58" customHeight="1">
      <x:c r="A27" s="12" t="str">
        <x:v>ST-0603</x:v>
      </x:c>
      <x:c r="B27" s="12" t="str">
        <x:v>S06</x:v>
      </x:c>
      <x:c r="C27" s="12" t="str">
        <x:v>Animation locomotion và tương tác của Minh</x:v>
      </x:c>
      <x:c r="D27" s="12" t="str">
        <x:v>Nhân vật có chuyển động đủ tin cậy cho demo cinematic.</x:v>
      </x:c>
      <x:c r="E27" s="12" t="str">
        <x:v>ST-0503, ST-0201</x:v>
      </x:c>
      <x:c r="F27" s="12" t="n">
        <x:v>4</x:v>
      </x:c>
      <x:c r="G27" s="12" t="n">
        <x:f>COUNTIFS(Tasks!C$5:C$602,A27,Tasks!F$5:F$602,"DONE")</x:f>
        <x:v>0</x:v>
      </x:c>
      <x:c r="H27" s="22" t="n">
        <x:f>IFERROR(G27/F27,0)</x:f>
        <x:v>0</x:v>
      </x:c>
      <x:c r="I27" s="12" t="str">
        <x:v>R12</x:v>
      </x:c>
    </x:row>
    <x:row r="28" ht="58" customHeight="1">
      <x:c r="A28" s="12" t="str">
        <x:v>ST-0604</x:v>
      </x:c>
      <x:c r="B28" s="12" t="str">
        <x:v>S06</x:v>
      </x:c>
      <x:c r="C28" s="12" t="str">
        <x:v>Kiểm thử narration trong một đoạn chơi</x:v>
      </x:c>
      <x:c r="D28" s="12" t="str">
        <x:v>Đoạn truyện có thể chơi lại mà lời thoại, animation và camera không xung đột.</x:v>
      </x:c>
      <x:c r="E28" s="12" t="str">
        <x:v>ST-0602, ST-0603</x:v>
      </x:c>
      <x:c r="F28" s="12" t="n">
        <x:v>4</x:v>
      </x:c>
      <x:c r="G28" s="12" t="n">
        <x:f>COUNTIFS(Tasks!C$5:C$602,A28,Tasks!F$5:F$602,"DONE")</x:f>
        <x:v>0</x:v>
      </x:c>
      <x:c r="H28" s="22" t="n">
        <x:f>IFERROR(G28/F28,0)</x:f>
        <x:v>0</x:v>
      </x:c>
      <x:c r="I28" s="12" t="str">
        <x:v>R07, R13</x:v>
      </x:c>
    </x:row>
    <x:row r="29" ht="58" customHeight="1">
      <x:c r="A29" s="12" t="str">
        <x:v>ST-0701</x:v>
      </x:c>
      <x:c r="B29" s="12" t="str">
        <x:v>S07</x:v>
      </x:c>
      <x:c r="C29" s="12" t="str">
        <x:v>Chơi đủ tám beat đêm đầu tiên</x:v>
      </x:c>
      <x:c r="D29" s="12" t="str">
        <x:v>Người chơi trở về, chứng kiến mất nhà, điều tra và thấy bóng An.</x:v>
      </x:c>
      <x:c r="E29" s="12" t="str">
        <x:v>ST-0604</x:v>
      </x:c>
      <x:c r="F29" s="12" t="n">
        <x:v>4</x:v>
      </x:c>
      <x:c r="G29" s="12" t="n">
        <x:f>COUNTIFS(Tasks!C$5:C$602,A29,Tasks!F$5:F$602,"DONE")</x:f>
        <x:v>0</x:v>
      </x:c>
      <x:c r="H29" s="22" t="n">
        <x:f>IFERROR(G29/F29,0)</x:f>
        <x:v>0</x:v>
      </x:c>
      <x:c r="I29" s="12" t="str">
        <x:v>R01, R06</x:v>
      </x:c>
    </x:row>
    <x:row r="30" ht="58" customHeight="1">
      <x:c r="A30" s="12" t="str">
        <x:v>ST-0702</x:v>
      </x:c>
      <x:c r="B30" s="12" t="str">
        <x:v>S07</x:v>
      </x:c>
      <x:c r="C30" s="12" t="str">
        <x:v>CH01 giải đố quan sát–suy luận với closeup và inventory</x:v>
      </x:c>
      <x:c r="D30" s="12" t="str">
        <x:v>Người chơi giải P01/P02/P03 bằng manh mối trong nhiều phòng; P04 được tích hợp encounter S08, toàn CH01 qua G2 trước nhân rộng.</x:v>
      </x:c>
      <x:c r="E30" s="12" t="str">
        <x:v>ST-0701</x:v>
      </x:c>
      <x:c r="F30" s="12" t="n">
        <x:v>10</x:v>
      </x:c>
      <x:c r="G30" s="12" t="n">
        <x:f>COUNTIFS(Tasks!C$5:C$602,A30,Tasks!F$5:F$602,"DONE")</x:f>
        <x:v>0</x:v>
      </x:c>
      <x:c r="H30" s="22" t="n">
        <x:f>IFERROR(G30/F30,0)</x:f>
        <x:v>0</x:v>
      </x:c>
      <x:c r="I30" s="12" t="str">
        <x:v>R06, R08</x:v>
      </x:c>
    </x:row>
    <x:row r="31" ht="58" customHeight="1">
      <x:c r="A31" s="12" t="str">
        <x:v>ST-0703</x:v>
      </x:c>
      <x:c r="B31" s="12" t="str">
        <x:v>S07</x:v>
      </x:c>
      <x:c r="C31" s="12" t="str">
        <x:v>Art pass street/H01 và bóng An</x:v>
      </x:c>
      <x:c r="D31" s="12" t="str">
        <x:v>Demo thể hiện được làng Việt Nam trong camera thật và một nhân vật bí ẩn dễ nhớ.</x:v>
      </x:c>
      <x:c r="E31" s="12" t="str">
        <x:v>ST-0503, ST-0701</x:v>
      </x:c>
      <x:c r="F31" s="12" t="n">
        <x:v>4</x:v>
      </x:c>
      <x:c r="G31" s="12" t="n">
        <x:f>COUNTIFS(Tasks!C$5:C$602,A31,Tasks!F$5:F$602,"DONE")</x:f>
        <x:v>0</x:v>
      </x:c>
      <x:c r="H31" s="22" t="n">
        <x:f>IFERROR(G31/F31,0)</x:f>
        <x:v>0</x:v>
      </x:c>
      <x:c r="I31" s="12" t="str">
        <x:v>R12</x:v>
      </x:c>
    </x:row>
    <x:row r="32" ht="58" customHeight="1">
      <x:c r="A32" s="12" t="str">
        <x:v>ST-0704</x:v>
      </x:c>
      <x:c r="B32" s="12" t="str">
        <x:v>S07</x:v>
      </x:c>
      <x:c r="C32" s="12" t="str">
        <x:v>Soundscape và review lần chơi đầu</x:v>
      </x:c>
      <x:c r="D32" s="12" t="str">
        <x:v>Người chơi hiểu chuyển từ đời thường sang bất an nhờ môi trường, không cần jumpscare.</x:v>
      </x:c>
      <x:c r="E32" s="12" t="str">
        <x:v>ST-0702, ST-0703</x:v>
      </x:c>
      <x:c r="F32" s="12" t="n">
        <x:v>4</x:v>
      </x:c>
      <x:c r="G32" s="12" t="n">
        <x:f>COUNTIFS(Tasks!C$5:C$602,A32,Tasks!F$5:F$602,"DONE")</x:f>
        <x:v>0</x:v>
      </x:c>
      <x:c r="H32" s="22" t="n">
        <x:f>IFERROR(G32/F32,0)</x:f>
        <x:v>0</x:v>
      </x:c>
      <x:c r="I32" s="12" t="str">
        <x:v>R13</x:v>
      </x:c>
    </x:row>
    <x:row r="33" ht="58" customHeight="1">
      <x:c r="A33" s="12" t="str">
        <x:v>ST-0801</x:v>
      </x:c>
      <x:c r="B33" s="12" t="str">
        <x:v>S08</x:v>
      </x:c>
      <x:c r="C33" s="12" t="str">
        <x:v>Enemy tuần tra và phát hiện đúng phase</x:v>
      </x:c>
      <x:c r="D33" s="12" t="str">
        <x:v>Người chơi dự đoán được nguy hiểm thay vì bị bắt bởi AI nhìn xuyên thế giới.</x:v>
      </x:c>
      <x:c r="E33" s="12" t="str">
        <x:v>ST-0704</x:v>
      </x:c>
      <x:c r="F33" s="12" t="n">
        <x:v>4</x:v>
      </x:c>
      <x:c r="G33" s="12" t="n">
        <x:f>COUNTIFS(Tasks!C$5:C$602,A33,Tasks!F$5:F$602,"DONE")</x:f>
        <x:v>0</x:v>
      </x:c>
      <x:c r="H33" s="22" t="n">
        <x:f>IFERROR(G33/F33,0)</x:f>
        <x:v>0</x:v>
      </x:c>
      <x:c r="I33" s="12" t="str">
        <x:v>R09</x:v>
      </x:c>
    </x:row>
    <x:row r="34" ht="58" customHeight="1">
      <x:c r="A34" s="12" t="str">
        <x:v>ST-0802</x:v>
      </x:c>
      <x:c r="B34" s="12" t="str">
        <x:v>S08</x:v>
      </x:c>
      <x:c r="C34" s="12" t="str">
        <x:v>Nấp, chạy và hồi checkpoint công bằng</x:v>
      </x:c>
      <x:c r="D34" s="12" t="str">
        <x:v>Người chơi có khoảng phản ứng và biết vì sao bị phát hiện.</x:v>
      </x:c>
      <x:c r="E34" s="12" t="str">
        <x:v>ST-0801</x:v>
      </x:c>
      <x:c r="F34" s="12" t="n">
        <x:v>4</x:v>
      </x:c>
      <x:c r="G34" s="12" t="n">
        <x:f>COUNTIFS(Tasks!C$5:C$602,A34,Tasks!F$5:F$602,"DONE")</x:f>
        <x:v>0</x:v>
      </x:c>
      <x:c r="H34" s="22" t="n">
        <x:f>IFERROR(G34/F34,0)</x:f>
        <x:v>0</x:v>
      </x:c>
      <x:c r="I34" s="12" t="str">
        <x:v>R09, R08</x:v>
      </x:c>
    </x:row>
    <x:row r="35" ht="58" customHeight="1">
      <x:c r="A35" s="12" t="str">
        <x:v>ST-0803</x:v>
      </x:c>
      <x:c r="B35" s="12" t="str">
        <x:v>S08</x:v>
      </x:c>
      <x:c r="C35" s="12" t="str">
        <x:v>Model và animation Kẻ Gõ Cửa</x:v>
      </x:c>
      <x:c r="D35" s="12" t="str">
        <x:v>Thực thể có silhouette/động tác đặc trưng và tín hiệu không chỉ bằng âm thanh.</x:v>
      </x:c>
      <x:c r="E35" s="12" t="str">
        <x:v>ST-0801, ST-0703</x:v>
      </x:c>
      <x:c r="F35" s="12" t="n">
        <x:v>4</x:v>
      </x:c>
      <x:c r="G35" s="12" t="n">
        <x:f>COUNTIFS(Tasks!C$5:C$602,A35,Tasks!F$5:F$602,"DONE")</x:f>
        <x:v>0</x:v>
      </x:c>
      <x:c r="H35" s="22" t="n">
        <x:f>IFERROR(G35/F35,0)</x:f>
        <x:v>0</x:v>
      </x:c>
      <x:c r="I35" s="12" t="str">
        <x:v>R12, R09</x:v>
      </x:c>
    </x:row>
    <x:row r="36" ht="58" customHeight="1">
      <x:c r="A36" s="12" t="str">
        <x:v>ST-0804</x:v>
      </x:c>
      <x:c r="B36" s="12" t="str">
        <x:v>S08</x:v>
      </x:c>
      <x:c r="C36" s="12" t="str">
        <x:v>Kiểm thử encounter đầu tiên</x:v>
      </x:c>
      <x:c r="D36" s="12" t="str">
        <x:v>ORCHESTRATOR xác nhận encounter tạo căng thẳng mà không phá dòng điều tra.</x:v>
      </x:c>
      <x:c r="E36" s="12" t="str">
        <x:v>ST-0802, ST-0803</x:v>
      </x:c>
      <x:c r="F36" s="12" t="n">
        <x:v>4</x:v>
      </x:c>
      <x:c r="G36" s="12" t="n">
        <x:f>COUNTIFS(Tasks!C$5:C$602,A36,Tasks!F$5:F$602,"DONE")</x:f>
        <x:v>0</x:v>
      </x:c>
      <x:c r="H36" s="22" t="n">
        <x:f>IFERROR(G36/F36,0)</x:f>
        <x:v>0</x:v>
      </x:c>
      <x:c r="I36" s="12" t="str">
        <x:v>R09, R14</x:v>
      </x:c>
    </x:row>
    <x:row r="37" ht="58" customHeight="1">
      <x:c r="A37" s="12" t="str">
        <x:v>ST-0901</x:v>
      </x:c>
      <x:c r="B37" s="12" t="str">
        <x:v>S09</x:v>
      </x:c>
      <x:c r="C37" s="12" t="str">
        <x:v>Menu, pause và continue hoạt động</x:v>
      </x:c>
      <x:c r="D37" s="12" t="str">
        <x:v>Người chơi bắt đầu/tiếp tục/tạm dừng một cách rõ ràng.</x:v>
      </x:c>
      <x:c r="E37" s="12" t="str">
        <x:v>ST-0804</x:v>
      </x:c>
      <x:c r="F37" s="12" t="n">
        <x:v>4</x:v>
      </x:c>
      <x:c r="G37" s="12" t="n">
        <x:f>COUNTIFS(Tasks!C$5:C$602,A37,Tasks!F$5:F$602,"DONE")</x:f>
        <x:v>0</x:v>
      </x:c>
      <x:c r="H37" s="22" t="n">
        <x:f>IFERROR(G37/F37,0)</x:f>
        <x:v>0</x:v>
      </x:c>
      <x:c r="I37" s="12" t="str">
        <x:v>R10, R08</x:v>
      </x:c>
    </x:row>
    <x:row r="38" ht="58" customHeight="1">
      <x:c r="A38" s="12" t="str">
        <x:v>ST-0902</x:v>
      </x:c>
      <x:c r="B38" s="12" t="str">
        <x:v>S09</x:v>
      </x:c>
      <x:c r="C38" s="12" t="str">
        <x:v>Gamepad và accessibility cho demo</x:v>
      </x:c>
      <x:c r="D38" s="12" t="str">
        <x:v>Người chơi dùng gamepad và đọc chữ lớn mà không bị kẹt menu.</x:v>
      </x:c>
      <x:c r="E38" s="12" t="str">
        <x:v>ST-0901</x:v>
      </x:c>
      <x:c r="F38" s="12" t="n">
        <x:v>4</x:v>
      </x:c>
      <x:c r="G38" s="12" t="n">
        <x:f>COUNTIFS(Tasks!C$5:C$602,A38,Tasks!F$5:F$602,"DONE")</x:f>
        <x:v>0</x:v>
      </x:c>
      <x:c r="H38" s="22" t="n">
        <x:f>IFERROR(G38/F38,0)</x:f>
        <x:v>0</x:v>
      </x:c>
      <x:c r="I38" s="12" t="str">
        <x:v>R10, R11</x:v>
      </x:c>
    </x:row>
    <x:row r="39" ht="58" customHeight="1">
      <x:c r="A39" s="12" t="str">
        <x:v>ST-0903</x:v>
      </x:c>
      <x:c r="B39" s="12" t="str">
        <x:v>S09</x:v>
      </x:c>
      <x:c r="C39" s="12" t="str">
        <x:v>Lighting/VFX pass cho slice có thể benchmark</x:v>
      </x:c>
      <x:c r="D39" s="12" t="str">
        <x:v>Hình ảnh điện ảnh không che manh mối hoặc làm máy test mất khả năng chơi.</x:v>
      </x:c>
      <x:c r="E39" s="12" t="str">
        <x:v>ST-0703, ST-0901</x:v>
      </x:c>
      <x:c r="F39" s="12" t="n">
        <x:v>4</x:v>
      </x:c>
      <x:c r="G39" s="12" t="n">
        <x:f>COUNTIFS(Tasks!C$5:C$602,A39,Tasks!F$5:F$602,"DONE")</x:f>
        <x:v>0</x:v>
      </x:c>
      <x:c r="H39" s="22" t="n">
        <x:f>IFERROR(G39/F39,0)</x:f>
        <x:v>0</x:v>
      </x:c>
      <x:c r="I39" s="12" t="str">
        <x:v>R12, R14</x:v>
      </x:c>
    </x:row>
    <x:row r="40" ht="58" customHeight="1">
      <x:c r="A40" s="12" t="str">
        <x:v>ST-0904</x:v>
      </x:c>
      <x:c r="B40" s="12" t="str">
        <x:v>S09</x:v>
      </x:c>
      <x:c r="C40" s="12" t="str">
        <x:v>Đóng build candidate cho test slice</x:v>
      </x:c>
      <x:c r="D40" s="12" t="str">
        <x:v>Người ngoài cài và chạy demo từ file phát hành không cần developer hỗ trợ.</x:v>
      </x:c>
      <x:c r="E40" s="12" t="str">
        <x:v>ST-0902, ST-0903</x:v>
      </x:c>
      <x:c r="F40" s="12" t="n">
        <x:v>4</x:v>
      </x:c>
      <x:c r="G40" s="12" t="n">
        <x:f>COUNTIFS(Tasks!C$5:C$602,A40,Tasks!F$5:F$602,"DONE")</x:f>
        <x:v>0</x:v>
      </x:c>
      <x:c r="H40" s="22" t="n">
        <x:f>IFERROR(G40/F40,0)</x:f>
        <x:v>0</x:v>
      </x:c>
      <x:c r="I40" s="12" t="str">
        <x:v>R14, R17</x:v>
      </x:c>
    </x:row>
    <x:row r="41" ht="58" customHeight="1">
      <x:c r="A41" s="12" t="str">
        <x:v>ST-1001</x:v>
      </x:c>
      <x:c r="B41" s="12" t="str">
        <x:v>S10</x:v>
      </x:c>
      <x:c r="C41" s="12" t="str">
        <x:v>Đánh giá vertical slice bằng tám profile của agent</x:v>
      </x:c>
      <x:c r="D41" s="12" t="str">
        <x:v>Kiểm chứng đường chơi, phản hồi và readability của slice trong runtime thực.</x:v>
      </x:c>
      <x:c r="E41" s="12" t="str">
        <x:v>ST-0904</x:v>
      </x:c>
      <x:c r="F41" s="12" t="n">
        <x:v>4</x:v>
      </x:c>
      <x:c r="G41" s="12" t="n">
        <x:f>COUNTIFS(Tasks!C$5:C$602,A41,Tasks!F$5:F$602,"DONE")</x:f>
        <x:v>0</x:v>
      </x:c>
      <x:c r="H41" s="22" t="n">
        <x:f>IFERROR(G41/F41,0)</x:f>
        <x:v>0</x:v>
      </x:c>
      <x:c r="I41" s="12" t="str">
        <x:v>R14</x:v>
      </x:c>
    </x:row>
    <x:row r="42" ht="58" customHeight="1">
      <x:c r="A42" s="12" t="str">
        <x:v>ST-1002</x:v>
      </x:c>
      <x:c r="B42" s="12" t="str">
        <x:v>S10</x:v>
      </x:c>
      <x:c r="C42" s="12" t="str">
        <x:v>Sửa vấn đề lớn nhất của slice</x:v>
      </x:c>
      <x:c r="D42" s="12" t="str">
        <x:v>Người chơi mới không còn mắc ở các điểm đã lặp lại trong test.</x:v>
      </x:c>
      <x:c r="E42" s="12" t="str">
        <x:v>ST-1001</x:v>
      </x:c>
      <x:c r="F42" s="12" t="n">
        <x:v>4</x:v>
      </x:c>
      <x:c r="G42" s="12" t="n">
        <x:f>COUNTIFS(Tasks!C$5:C$602,A42,Tasks!F$5:F$602,"DONE")</x:f>
        <x:v>0</x:v>
      </x:c>
      <x:c r="H42" s="22" t="n">
        <x:f>IFERROR(G42/F42,0)</x:f>
        <x:v>0</x:v>
      </x:c>
      <x:c r="I42" s="12" t="str">
        <x:v>R03, R06, R09</x:v>
      </x:c>
    </x:row>
    <x:row r="43" ht="58" customHeight="1">
      <x:c r="A43" s="12" t="str">
        <x:v>ST-1003</x:v>
      </x:c>
      <x:c r="B43" s="12" t="str">
        <x:v>S10</x:v>
      </x:c>
      <x:c r="C43" s="12" t="str">
        <x:v>Chốt chuẩn sản xuất art/audio</x:v>
      </x:c>
      <x:c r="D43" s="12" t="str">
        <x:v>Team có mẫu chất lượng cuối để nhân rộng mà không mỗi chương một phong cách.</x:v>
      </x:c>
      <x:c r="E43" s="12" t="str">
        <x:v>ST-1001</x:v>
      </x:c>
      <x:c r="F43" s="12" t="n">
        <x:v>4</x:v>
      </x:c>
      <x:c r="G43" s="12" t="n">
        <x:f>COUNTIFS(Tasks!C$5:C$602,A43,Tasks!F$5:F$602,"DONE")</x:f>
        <x:v>0</x:v>
      </x:c>
      <x:c r="H43" s="22" t="n">
        <x:f>IFERROR(G43/F43,0)</x:f>
        <x:v>0</x:v>
      </x:c>
      <x:c r="I43" s="12" t="str">
        <x:v>R12, R13</x:v>
      </x:c>
    </x:row>
    <x:row r="44" ht="58" customHeight="1">
      <x:c r="A44" s="12" t="str">
        <x:v>ST-1004</x:v>
      </x:c>
      <x:c r="B44" s="12" t="str">
        <x:v>S10</x:v>
      </x:c>
      <x:c r="C44" s="12" t="str">
        <x:v>Quyết định GO sản xuất full game</x:v>
      </x:c>
      <x:c r="D44" s="12" t="str">
        <x:v>Agent chỉ mở rộng production khi gameplay và pipeline tạo asset đã kiểm chứng.</x:v>
      </x:c>
      <x:c r="E44" s="12" t="str">
        <x:v>ST-1002, ST-1003</x:v>
      </x:c>
      <x:c r="F44" s="12" t="n">
        <x:v>4</x:v>
      </x:c>
      <x:c r="G44" s="12" t="n">
        <x:f>COUNTIFS(Tasks!C$5:C$602,A44,Tasks!F$5:F$602,"DONE")</x:f>
        <x:v>0</x:v>
      </x:c>
      <x:c r="H44" s="22" t="n">
        <x:f>IFERROR(G44/F44,0)</x:f>
        <x:v>0</x:v>
      </x:c>
      <x:c r="I44" s="12" t="str">
        <x:v>R18</x:v>
      </x:c>
    </x:row>
    <x:row r="45" ht="58" customHeight="1">
      <x:c r="A45" s="12" t="str">
        <x:v>ST-1101</x:v>
      </x:c>
      <x:c r="B45" s="12" t="str">
        <x:v>S11</x:v>
      </x:c>
      <x:c r="C45" s="12" t="str">
        <x:v>Tải level theo vùng có hai phase cục bộ</x:v>
      </x:c>
      <x:c r="D45" s="12" t="str">
        <x:v>Người chơi chuyển khu vực không mất trạng thái ngôi làng.</x:v>
      </x:c>
      <x:c r="E45" s="12" t="str">
        <x:v>ST-1004</x:v>
      </x:c>
      <x:c r="F45" s="12" t="n">
        <x:v>4</x:v>
      </x:c>
      <x:c r="G45" s="12" t="n">
        <x:f>COUNTIFS(Tasks!C$5:C$602,A45,Tasks!F$5:F$602,"DONE")</x:f>
        <x:v>0</x:v>
      </x:c>
      <x:c r="H45" s="22" t="n">
        <x:f>IFERROR(G45/F45,0)</x:f>
        <x:v>0</x:v>
      </x:c>
      <x:c r="I45" s="12" t="str">
        <x:v>R04, R08, R14</x:v>
      </x:c>
    </x:row>
    <x:row r="46" ht="58" customHeight="1">
      <x:c r="A46" s="12" t="str">
        <x:v>ST-1102</x:v>
      </x:c>
      <x:c r="B46" s="12" t="str">
        <x:v>S11</x:v>
      </x:c>
      <x:c r="C46" s="12" t="str">
        <x:v>Save nhiều slot, backup và schema migration</x:v>
      </x:c>
      <x:c r="D46" s="12" t="str">
        <x:v>Người chơi giữ được lượt chơi và khôi phục sau cập nhật hợp lệ.</x:v>
      </x:c>
      <x:c r="E46" s="12" t="str">
        <x:v>ST-1101</x:v>
      </x:c>
      <x:c r="F46" s="12" t="n">
        <x:v>4</x:v>
      </x:c>
      <x:c r="G46" s="12" t="n">
        <x:f>COUNTIFS(Tasks!C$5:C$602,A46,Tasks!F$5:F$602,"DONE")</x:f>
        <x:v>0</x:v>
      </x:c>
      <x:c r="H46" s="22" t="n">
        <x:f>IFERROR(G46/F46,0)</x:f>
        <x:v>0</x:v>
      </x:c>
      <x:c r="I46" s="12" t="str">
        <x:v>R08</x:v>
      </x:c>
    </x:row>
    <x:row r="47" ht="58" customHeight="1">
      <x:c r="A47" s="12" t="str">
        <x:v>ST-1103</x:v>
      </x:c>
      <x:c r="B47" s="12" t="str">
        <x:v>S11</x:v>
      </x:c>
      <x:c r="C47" s="12" t="str">
        <x:v>Chuẩn hóa production asset kit</x:v>
      </x:c>
      <x:c r="D47" s="12" t="str">
        <x:v>Artist tạo H02–H07 bằng kit thống nhất thay vì dựng lại từ đầu.</x:v>
      </x:c>
      <x:c r="E47" s="12" t="str">
        <x:v>ST-1003</x:v>
      </x:c>
      <x:c r="F47" s="12" t="n">
        <x:v>4</x:v>
      </x:c>
      <x:c r="G47" s="12" t="n">
        <x:f>COUNTIFS(Tasks!C$5:C$602,A47,Tasks!F$5:F$602,"DONE")</x:f>
        <x:v>0</x:v>
      </x:c>
      <x:c r="H47" s="22" t="n">
        <x:f>IFERROR(G47/F47,0)</x:f>
        <x:v>0</x:v>
      </x:c>
      <x:c r="I47" s="12" t="str">
        <x:v>R12, R17</x:v>
      </x:c>
    </x:row>
    <x:row r="48" ht="58" customHeight="1">
      <x:c r="A48" s="12" t="str">
        <x:v>ST-1104</x:v>
      </x:c>
      <x:c r="B48" s="12" t="str">
        <x:v>S11</x:v>
      </x:c>
      <x:c r="C48" s="12" t="str">
        <x:v>Thiết lập pipeline phát hành và store từ sớm</x:v>
      </x:c>
      <x:c r="D48" s="12" t="str">
        <x:v>Owner chủ động điều kiện thương mại trong khi game tiếp tục sản xuất.</x:v>
      </x:c>
      <x:c r="E48" s="12" t="str">
        <x:v>ST-1102, ST-1103</x:v>
      </x:c>
      <x:c r="F48" s="12" t="n">
        <x:v>4</x:v>
      </x:c>
      <x:c r="G48" s="12" t="n">
        <x:f>COUNTIFS(Tasks!C$5:C$602,A48,Tasks!F$5:F$602,"DONE")</x:f>
        <x:v>0</x:v>
      </x:c>
      <x:c r="H48" s="22" t="n">
        <x:f>IFERROR(G48/F48,0)</x:f>
        <x:v>0</x:v>
      </x:c>
      <x:c r="I48" s="12" t="str">
        <x:v>R15, R17</x:v>
      </x:c>
    </x:row>
    <x:row r="49" ht="58" customHeight="1">
      <x:c r="A49" s="12" t="str">
        <x:v>ST-1201</x:v>
      </x:c>
      <x:c r="B49" s="12" t="str">
        <x:v>S12</x:v>
      </x:c>
      <x:c r="C49" s="12" t="str">
        <x:v>Hub thay đổi theo đêm và house state</x:v>
      </x:c>
      <x:c r="D49" s="12" t="str">
        <x:v>Người chơi thấy làng và lời NPC thay đổi khi một nhà bị xóa.</x:v>
      </x:c>
      <x:c r="E49" s="12" t="str">
        <x:v>ST-1104</x:v>
      </x:c>
      <x:c r="F49" s="12" t="n">
        <x:v>4</x:v>
      </x:c>
      <x:c r="G49" s="12" t="n">
        <x:f>COUNTIFS(Tasks!C$5:C$602,A49,Tasks!F$5:F$602,"DONE")</x:f>
        <x:v>0</x:v>
      </x:c>
      <x:c r="H49" s="22" t="n">
        <x:f>IFERROR(G49/F49,0)</x:f>
        <x:v>0</x:v>
      </x:c>
      <x:c r="I49" s="12" t="str">
        <x:v>R01, R07</x:v>
      </x:c>
    </x:row>
    <x:row r="50" ht="58" customHeight="1">
      <x:c r="A50" s="12" t="str">
        <x:v>ST-1202</x:v>
      </x:c>
      <x:c r="B50" s="12" t="str">
        <x:v>S12</x:v>
      </x:c>
      <x:c r="C50" s="12" t="str">
        <x:v>Journal bằng chứng và bản đồ ký ức</x:v>
      </x:c>
      <x:c r="D50" s="12" t="str">
        <x:v>Người chơi nhớ đã tìm được gì và còn điều gì chưa giải mà không cần giấy ngoài.</x:v>
      </x:c>
      <x:c r="E50" s="12" t="str">
        <x:v>ST-1201</x:v>
      </x:c>
      <x:c r="F50" s="12" t="n">
        <x:v>4</x:v>
      </x:c>
      <x:c r="G50" s="12" t="n">
        <x:f>COUNTIFS(Tasks!C$5:C$602,A50,Tasks!F$5:F$602,"DONE")</x:f>
        <x:v>0</x:v>
      </x:c>
      <x:c r="H50" s="22" t="n">
        <x:f>IFERROR(G50/F50,0)</x:f>
        <x:v>0</x:v>
      </x:c>
      <x:c r="I50" s="12" t="str">
        <x:v>R06, R07, R08</x:v>
      </x:c>
    </x:row>
    <x:row r="51" ht="58" customHeight="1">
      <x:c r="A51" s="12" t="str">
        <x:v>ST-1203</x:v>
      </x:c>
      <x:c r="B51" s="12" t="str">
        <x:v>S12</x:v>
      </x:c>
      <x:c r="C51" s="12" t="str">
        <x:v>Input rebind và accessibility baseline full game</x:v>
      </x:c>
      <x:c r="D51" s="12" t="str">
        <x:v>Người chơi tùy chỉnh điều khiển và đọc/chơi được mà không phụ thuộc chỉ một giác quan.</x:v>
      </x:c>
      <x:c r="E51" s="12" t="str">
        <x:v>ST-1202</x:v>
      </x:c>
      <x:c r="F51" s="12" t="n">
        <x:v>4</x:v>
      </x:c>
      <x:c r="G51" s="12" t="n">
        <x:f>COUNTIFS(Tasks!C$5:C$602,A51,Tasks!F$5:F$602,"DONE")</x:f>
        <x:v>0</x:v>
      </x:c>
      <x:c r="H51" s="22" t="n">
        <x:f>IFERROR(G51/F51,0)</x:f>
        <x:v>0</x:v>
      </x:c>
      <x:c r="I51" s="12" t="str">
        <x:v>R10, R11, R16</x:v>
      </x:c>
    </x:row>
    <x:row r="52" ht="58" customHeight="1">
      <x:c r="A52" s="12" t="str">
        <x:v>ST-1204</x:v>
      </x:c>
      <x:c r="B52" s="12" t="str">
        <x:v>S12</x:v>
      </x:c>
      <x:c r="C52" s="12" t="str">
        <x:v>Gate nền tảng và template sản xuất chương</x:v>
      </x:c>
      <x:c r="D52" s="12" t="str">
        <x:v>Một chapter mới được dựng bằng mẫu có test/asset checklist thay vì copy scene rối.</x:v>
      </x:c>
      <x:c r="E52" s="12" t="str">
        <x:v>ST-1203, ST-1103</x:v>
      </x:c>
      <x:c r="F52" s="12" t="n">
        <x:v>4</x:v>
      </x:c>
      <x:c r="G52" s="12" t="n">
        <x:f>COUNTIFS(Tasks!C$5:C$602,A52,Tasks!F$5:F$602,"DONE")</x:f>
        <x:v>0</x:v>
      </x:c>
      <x:c r="H52" s="22" t="n">
        <x:f>IFERROR(G52/F52,0)</x:f>
        <x:v>0</x:v>
      </x:c>
      <x:c r="I52" s="12" t="str">
        <x:v>R17, R18</x:v>
      </x:c>
    </x:row>
    <x:row r="53" ht="58" customHeight="1">
      <x:c r="A53" s="12" t="str">
        <x:v>ST-1301</x:v>
      </x:c>
      <x:c r="B53" s="12" t="str">
        <x:v>S13</x:v>
      </x:c>
      <x:c r="C53" s="12" t="str">
        <x:v>Khám phá Nhà bà Liên và hiểu mục tiêu chương</x:v>
      </x:c>
      <x:c r="D53" s="12" t="str">
        <x:v>Người chơi vào H02 / sân chung / góc ký ức và tự tìm được câu hỏi cần giải.</x:v>
      </x:c>
      <x:c r="E53" s="12" t="str">
        <x:v>ST-1204</x:v>
      </x:c>
      <x:c r="F53" s="12" t="n">
        <x:v>4</x:v>
      </x:c>
      <x:c r="G53" s="12" t="n">
        <x:f>COUNTIFS(Tasks!C$5:C$602,A53,Tasks!F$5:F$602,"DONE")</x:f>
        <x:v>0</x:v>
      </x:c>
      <x:c r="H53" s="22" t="n">
        <x:f>IFERROR(G53/F53,0)</x:f>
        <x:v>0</x:v>
      </x:c>
      <x:c r="I53" s="12" t="str">
        <x:v>R01, R06</x:v>
      </x:c>
    </x:row>
    <x:row r="54" ht="58" customHeight="1">
      <x:c r="A54" s="12" t="str">
        <x:v>ST-1302</x:v>
      </x:c>
      <x:c r="B54" s="12" t="str">
        <x:v>S13</x:v>
      </x:c>
      <x:c r="C54" s="12" t="str">
        <x:v>P05 — Chỗ ngồi thứ tư</x:v>
      </x:c>
      <x:c r="D54" s="12" t="str">
        <x:v>Người chơi giải câu đố: Đối chiếu vị trí bát/ghế ở REAL với dấu người ngồi trong ERASED để mở ngăn bàn.</x:v>
      </x:c>
      <x:c r="E54" s="12" t="str">
        <x:v>ST-1301</x:v>
      </x:c>
      <x:c r="F54" s="12" t="n">
        <x:v>4</x:v>
      </x:c>
      <x:c r="G54" s="12" t="n">
        <x:f>COUNTIFS(Tasks!C$5:C$602,A54,Tasks!F$5:F$602,"DONE")</x:f>
        <x:v>0</x:v>
      </x:c>
      <x:c r="H54" s="22" t="n">
        <x:f>IFERROR(G54/F54,0)</x:f>
        <x:v>0</x:v>
      </x:c>
      <x:c r="I54" s="12" t="str">
        <x:v>R06, R08</x:v>
      </x:c>
    </x:row>
    <x:row r="55" ht="58" customHeight="1">
      <x:c r="A55" s="12" t="str">
        <x:v>ST-1303</x:v>
      </x:c>
      <x:c r="B55" s="12" t="str">
        <x:v>S13</x:v>
      </x:c>
      <x:c r="C55" s="12" t="str">
        <x:v>Art blockout và hero props cho H02</x:v>
      </x:c>
      <x:c r="D55" s="12" t="str">
        <x:v>Artist chuẩn bị Bàn bốn chỗ, tủ áo, bảng đo chiều cao và NPC bà Liên biến thể rig chung phù hợp camera đã khóa.</x:v>
      </x:c>
      <x:c r="E55" s="12" t="str">
        <x:v>ST-1301, ST-1103</x:v>
      </x:c>
      <x:c r="F55" s="12" t="n">
        <x:v>4</x:v>
      </x:c>
      <x:c r="G55" s="12" t="n">
        <x:f>COUNTIFS(Tasks!C$5:C$602,A55,Tasks!F$5:F$602,"DONE")</x:f>
        <x:v>0</x:v>
      </x:c>
      <x:c r="H55" s="22" t="n">
        <x:f>IFERROR(G55/F55,0)</x:f>
        <x:v>0</x:v>
      </x:c>
      <x:c r="I55" s="12" t="str">
        <x:v>R12</x:v>
      </x:c>
    </x:row>
    <x:row r="56" ht="58" customHeight="1">
      <x:c r="A56" s="12" t="str">
        <x:v>ST-1304</x:v>
      </x:c>
      <x:c r="B56" s="12" t="str">
        <x:v>S13</x:v>
      </x:c>
      <x:c r="C56" s="12" t="str">
        <x:v>P06 và ký ức tùy chọn của H02</x:v>
      </x:c>
      <x:c r="D56" s="12" t="str">
        <x:v>Người chơi hoàn tất chương qua Căn phòng không có cửa và có thể tìm thêm M02 — Nét thêu chỉ đường qua sân bà Liên.</x:v>
      </x:c>
      <x:c r="E56" s="12" t="str">
        <x:v>ST-1302, ST-1303</x:v>
      </x:c>
      <x:c r="F56" s="12" t="n">
        <x:v>4</x:v>
      </x:c>
      <x:c r="G56" s="12" t="n">
        <x:f>COUNTIFS(Tasks!C$5:C$602,A56,Tasks!F$5:F$602,"DONE")</x:f>
        <x:v>0</x:v>
      </x:c>
      <x:c r="H56" s="22" t="n">
        <x:f>IFERROR(G56/F56,0)</x:f>
        <x:v>0</x:v>
      </x:c>
      <x:c r="I56" s="12" t="str">
        <x:v>R06, R07, R08</x:v>
      </x:c>
    </x:row>
    <x:row r="57" ht="58" customHeight="1">
      <x:c r="A57" s="12" t="str">
        <x:v>ST-1401</x:v>
      </x:c>
      <x:c r="B57" s="12" t="str">
        <x:v>S14</x:v>
      </x:c>
      <x:c r="C57" s="12" t="str">
        <x:v>Kể trọn bí mật H02 trong gameplay</x:v>
      </x:c>
      <x:c r="D57" s="12" t="str">
        <x:v>Người chơi trải nghiệm: Hội thoại bà Liên trước/sau mở tủ; lời gọi tên Hạnh vô thức chỉ phát một lần.</x:v>
      </x:c>
      <x:c r="E57" s="12" t="str">
        <x:v>ST-1304</x:v>
      </x:c>
      <x:c r="F57" s="12" t="n">
        <x:v>4</x:v>
      </x:c>
      <x:c r="G57" s="12" t="n">
        <x:f>COUNTIFS(Tasks!C$5:C$602,A57,Tasks!F$5:F$602,"DONE")</x:f>
        <x:v>0</x:v>
      </x:c>
      <x:c r="H57" s="22" t="n">
        <x:f>IFERROR(G57/F57,0)</x:f>
        <x:v>0</x:v>
      </x:c>
      <x:c r="I57" s="12" t="str">
        <x:v>R01, R07, R09</x:v>
      </x:c>
    </x:row>
    <x:row r="58" ht="58" customHeight="1">
      <x:c r="A58" s="12" t="str">
        <x:v>ST-1402</x:v>
      </x:c>
      <x:c r="B58" s="12" t="str">
        <x:v>S14</x:v>
      </x:c>
      <x:c r="C58" s="12" t="str">
        <x:v>Art final và diễn xuất H02</x:v>
      </x:c>
      <x:c r="D58" s="12" t="str">
        <x:v>Người chơi thấy Bàn bốn chỗ, tủ áo, bảng đo chiều cao và NPC bà Liên biến thể rig chung đạt golden sample của game.</x:v>
      </x:c>
      <x:c r="E58" s="12" t="str">
        <x:v>ST-1303, ST-1401</x:v>
      </x:c>
      <x:c r="F58" s="12" t="n">
        <x:v>4</x:v>
      </x:c>
      <x:c r="G58" s="12" t="n">
        <x:f>COUNTIFS(Tasks!C$5:C$602,A58,Tasks!F$5:F$602,"DONE")</x:f>
        <x:v>0</x:v>
      </x:c>
      <x:c r="H58" s="22" t="n">
        <x:f>IFERROR(G58/F58,0)</x:f>
        <x:v>0</x:v>
      </x:c>
      <x:c r="I58" s="12" t="str">
        <x:v>R12</x:v>
      </x:c>
    </x:row>
    <x:row r="59" ht="58" customHeight="1">
      <x:c r="A59" s="12" t="str">
        <x:v>ST-1403</x:v>
      </x:c>
      <x:c r="B59" s="12" t="str">
        <x:v>S14</x:v>
      </x:c>
      <x:c r="C59" s="12" t="str">
        <x:v>Âm thanh dẫn cảm xúc chương H02</x:v>
      </x:c>
      <x:c r="D59" s="12" t="str">
        <x:v>Người chơi cảm nhận Tiếng bát đặt xuống thừa một nhịp; ambience sân nhà, không encounter.</x:v>
      </x:c>
      <x:c r="E59" s="12" t="str">
        <x:v>ST-1401</x:v>
      </x:c>
      <x:c r="F59" s="12" t="n">
        <x:v>4</x:v>
      </x:c>
      <x:c r="G59" s="12" t="n">
        <x:f>COUNTIFS(Tasks!C$5:C$602,A59,Tasks!F$5:F$602,"DONE")</x:f>
        <x:v>0</x:v>
      </x:c>
      <x:c r="H59" s="22" t="n">
        <x:f>IFERROR(G59/F59,0)</x:f>
        <x:v>0</x:v>
      </x:c>
      <x:c r="I59" s="12" t="str">
        <x:v>R13, R11</x:v>
      </x:c>
    </x:row>
    <x:row r="60" ht="58" customHeight="1">
      <x:c r="A60" s="12" t="str">
        <x:v>ST-1404</x:v>
      </x:c>
      <x:c r="B60" s="12" t="str">
        <x:v>S14</x:v>
      </x:c>
      <x:c r="C60" s="12" t="str">
        <x:v>Nghiệm thu chương H02 và chống soft-lock</x:v>
      </x:c>
      <x:c r="D60" s="12" t="str">
        <x:v>Một người mới có thể hoàn tất chương và người quay lại vẫn thu được ký ức còn thiếu.</x:v>
      </x:c>
      <x:c r="E60" s="12" t="str">
        <x:v>ST-1401, ST-1402, ST-1403</x:v>
      </x:c>
      <x:c r="F60" s="12" t="n">
        <x:v>5</x:v>
      </x:c>
      <x:c r="G60" s="12" t="n">
        <x:f>COUNTIFS(Tasks!C$5:C$602,A60,Tasks!F$5:F$602,"DONE")</x:f>
        <x:v>0</x:v>
      </x:c>
      <x:c r="H60" s="22" t="n">
        <x:f>IFERROR(G60/F60,0)</x:f>
        <x:v>0</x:v>
      </x:c>
      <x:c r="I60" s="12" t="str">
        <x:v>R14, R18</x:v>
      </x:c>
    </x:row>
    <x:row r="61" ht="58" customHeight="1">
      <x:c r="A61" s="12" t="str">
        <x:v>ST-1405</x:v>
      </x:c>
      <x:c r="B61" s="12" t="str">
        <x:v>S14</x:v>
      </x:c>
      <x:c r="C61" s="12" t="str">
        <x:v>Trang giới thiệu game dựa trên footage thật</x:v>
      </x:c>
      <x:c r="D61" s="12" t="str">
        <x:v>Người quan tâm hiểu thể loại và theo dõi game mà không bị hứa các tính năng chưa có.</x:v>
      </x:c>
      <x:c r="E61" s="12" t="str">
        <x:v>ST-1004, ST-1104</x:v>
      </x:c>
      <x:c r="F61" s="12" t="n">
        <x:v>5</x:v>
      </x:c>
      <x:c r="G61" s="12" t="n">
        <x:f>COUNTIFS(Tasks!C$5:C$602,A61,Tasks!F$5:F$602,"DONE")</x:f>
        <x:v>0</x:v>
      </x:c>
      <x:c r="H61" s="22" t="n">
        <x:f>IFERROR(G61/F61,0)</x:f>
        <x:v>0</x:v>
      </x:c>
      <x:c r="I61" s="12" t="str">
        <x:v>R15</x:v>
      </x:c>
    </x:row>
    <x:row r="62" ht="58" customHeight="1">
      <x:c r="A62" s="12" t="str">
        <x:v>ST-1501</x:v>
      </x:c>
      <x:c r="B62" s="12" t="str">
        <x:v>S15</x:v>
      </x:c>
      <x:c r="C62" s="12" t="str">
        <x:v>Khám phá Nhà ông Phúc lái đò và hiểu mục tiêu chương</x:v>
      </x:c>
      <x:c r="D62" s="12" t="str">
        <x:v>Người chơi vào H03 / bến sông / cầu gỗ và tự tìm được câu hỏi cần giải.</x:v>
      </x:c>
      <x:c r="E62" s="12" t="str">
        <x:v>ST-1404</x:v>
      </x:c>
      <x:c r="F62" s="12" t="n">
        <x:v>4</x:v>
      </x:c>
      <x:c r="G62" s="12" t="n">
        <x:f>COUNTIFS(Tasks!C$5:C$602,A62,Tasks!F$5:F$602,"DONE")</x:f>
        <x:v>0</x:v>
      </x:c>
      <x:c r="H62" s="22" t="n">
        <x:f>IFERROR(G62/F62,0)</x:f>
        <x:v>0</x:v>
      </x:c>
      <x:c r="I62" s="12" t="str">
        <x:v>R01, R06</x:v>
      </x:c>
    </x:row>
    <x:row r="63" ht="58" customHeight="1">
      <x:c r="A63" s="12" t="str">
        <x:v>ST-1502</x:v>
      </x:c>
      <x:c r="B63" s="12" t="str">
        <x:v>S15</x:v>
      </x:c>
      <x:c r="C63" s="12" t="str">
        <x:v>P10 — Cây cầu thiếu hai nhịp</x:v>
      </x:c>
      <x:c r="D63" s="12" t="str">
        <x:v>Người chơi giải câu đố: Chọn thứ tự chuyển phase tại hai bệ an toàn để đi qua các nhịp cầu tồn tại lệch nhau.</x:v>
      </x:c>
      <x:c r="E63" s="12" t="str">
        <x:v>ST-1501</x:v>
      </x:c>
      <x:c r="F63" s="12" t="n">
        <x:v>4</x:v>
      </x:c>
      <x:c r="G63" s="12" t="n">
        <x:f>COUNTIFS(Tasks!C$5:C$602,A63,Tasks!F$5:F$602,"DONE")</x:f>
        <x:v>0</x:v>
      </x:c>
      <x:c r="H63" s="22" t="n">
        <x:f>IFERROR(G63/F63,0)</x:f>
        <x:v>0</x:v>
      </x:c>
      <x:c r="I63" s="12" t="str">
        <x:v>R06, R08</x:v>
      </x:c>
    </x:row>
    <x:row r="64" ht="58" customHeight="1">
      <x:c r="A64" s="12" t="str">
        <x:v>ST-1503</x:v>
      </x:c>
      <x:c r="B64" s="12" t="str">
        <x:v>S15</x:v>
      </x:c>
      <x:c r="C64" s="12" t="str">
        <x:v>Art blockout và hero props cho H03</x:v>
      </x:c>
      <x:c r="D64" s="12" t="str">
        <x:v>Artist chuẩn bị Cầu gỗ modular, cọc bến, van, vạch nước và ông Phúc biến thể rig chung phù hợp camera đã khóa.</x:v>
      </x:c>
      <x:c r="E64" s="12" t="str">
        <x:v>ST-1501, ST-1103</x:v>
      </x:c>
      <x:c r="F64" s="12" t="n">
        <x:v>4</x:v>
      </x:c>
      <x:c r="G64" s="12" t="n">
        <x:f>COUNTIFS(Tasks!C$5:C$602,A64,Tasks!F$5:F$602,"DONE")</x:f>
        <x:v>0</x:v>
      </x:c>
      <x:c r="H64" s="22" t="n">
        <x:f>IFERROR(G64/F64,0)</x:f>
        <x:v>0</x:v>
      </x:c>
      <x:c r="I64" s="12" t="str">
        <x:v>R12</x:v>
      </x:c>
    </x:row>
    <x:row r="65" ht="58" customHeight="1">
      <x:c r="A65" s="12" t="str">
        <x:v>ST-1504</x:v>
      </x:c>
      <x:c r="B65" s="12" t="str">
        <x:v>S15</x:v>
      </x:c>
      <x:c r="C65" s="12" t="str">
        <x:v>P11 và ký ức tùy chọn của H03</x:v>
      </x:c>
      <x:c r="D65" s="12" t="str">
        <x:v>Người chơi hoàn tất chương qua Vạch nước của đêm lũ và có thể tìm thêm M03 — Sổ bến đánh dấu điểm tập kết lên đồi.</x:v>
      </x:c>
      <x:c r="E65" s="12" t="str">
        <x:v>ST-1502, ST-1503</x:v>
      </x:c>
      <x:c r="F65" s="12" t="n">
        <x:v>4</x:v>
      </x:c>
      <x:c r="G65" s="12" t="n">
        <x:f>COUNTIFS(Tasks!C$5:C$602,A65,Tasks!F$5:F$602,"DONE")</x:f>
        <x:v>0</x:v>
      </x:c>
      <x:c r="H65" s="22" t="n">
        <x:f>IFERROR(G65/F65,0)</x:f>
        <x:v>0</x:v>
      </x:c>
      <x:c r="I65" s="12" t="str">
        <x:v>R06, R07, R08</x:v>
      </x:c>
    </x:row>
    <x:row r="66" ht="58" customHeight="1">
      <x:c r="A66" s="12" t="str">
        <x:v>ST-1601</x:v>
      </x:c>
      <x:c r="B66" s="12" t="str">
        <x:v>S16</x:v>
      </x:c>
      <x:c r="C66" s="12" t="str">
        <x:v>Kể trọn bí mật H03 trong gameplay</x:v>
      </x:c>
      <x:c r="D66" s="12" t="str">
        <x:v>Người chơi trải nghiệm: Ông Phúc nhận ra sợi dây quen thuộc nhưng không nhớ từng cứu ai; lời thoại không giải chuông.</x:v>
      </x:c>
      <x:c r="E66" s="12" t="str">
        <x:v>ST-1504</x:v>
      </x:c>
      <x:c r="F66" s="12" t="n">
        <x:v>4</x:v>
      </x:c>
      <x:c r="G66" s="12" t="n">
        <x:f>COUNTIFS(Tasks!C$5:C$602,A66,Tasks!F$5:F$602,"DONE")</x:f>
        <x:v>0</x:v>
      </x:c>
      <x:c r="H66" s="22" t="n">
        <x:f>IFERROR(G66/F66,0)</x:f>
        <x:v>0</x:v>
      </x:c>
      <x:c r="I66" s="12" t="str">
        <x:v>R01, R07, R09</x:v>
      </x:c>
    </x:row>
    <x:row r="67" ht="58" customHeight="1">
      <x:c r="A67" s="12" t="str">
        <x:v>ST-1602</x:v>
      </x:c>
      <x:c r="B67" s="12" t="str">
        <x:v>S16</x:v>
      </x:c>
      <x:c r="C67" s="12" t="str">
        <x:v>Art final và diễn xuất H03</x:v>
      </x:c>
      <x:c r="D67" s="12" t="str">
        <x:v>Người chơi thấy Cầu gỗ modular, cọc bến, van, vạch nước và ông Phúc biến thể rig chung đạt golden sample của game.</x:v>
      </x:c>
      <x:c r="E67" s="12" t="str">
        <x:v>ST-1503, ST-1601</x:v>
      </x:c>
      <x:c r="F67" s="12" t="n">
        <x:v>4</x:v>
      </x:c>
      <x:c r="G67" s="12" t="n">
        <x:f>COUNTIFS(Tasks!C$5:C$602,A67,Tasks!F$5:F$602,"DONE")</x:f>
        <x:v>0</x:v>
      </x:c>
      <x:c r="H67" s="22" t="n">
        <x:f>IFERROR(G67/F67,0)</x:f>
        <x:v>0</x:v>
      </x:c>
      <x:c r="I67" s="12" t="str">
        <x:v>R12</x:v>
      </x:c>
    </x:row>
    <x:row r="68" ht="58" customHeight="1">
      <x:c r="A68" s="12" t="str">
        <x:v>ST-1603</x:v>
      </x:c>
      <x:c r="B68" s="12" t="str">
        <x:v>S16</x:v>
      </x:c>
      <x:c r="C68" s="12" t="str">
        <x:v>Âm thanh dẫn cảm xúc chương H03</x:v>
      </x:c>
      <x:c r="D68" s="12" t="str">
        <x:v>Người chơi cảm nhận Nước xa/gỗ kẽo kẹt, nhịp im lặng khi nhìn vạch lũ; không enemy mới.</x:v>
      </x:c>
      <x:c r="E68" s="12" t="str">
        <x:v>ST-1601</x:v>
      </x:c>
      <x:c r="F68" s="12" t="n">
        <x:v>4</x:v>
      </x:c>
      <x:c r="G68" s="12" t="n">
        <x:f>COUNTIFS(Tasks!C$5:C$602,A68,Tasks!F$5:F$602,"DONE")</x:f>
        <x:v>0</x:v>
      </x:c>
      <x:c r="H68" s="22" t="n">
        <x:f>IFERROR(G68/F68,0)</x:f>
        <x:v>0</x:v>
      </x:c>
      <x:c r="I68" s="12" t="str">
        <x:v>R13, R11</x:v>
      </x:c>
    </x:row>
    <x:row r="69" ht="58" customHeight="1">
      <x:c r="A69" s="12" t="str">
        <x:v>ST-1604</x:v>
      </x:c>
      <x:c r="B69" s="12" t="str">
        <x:v>S16</x:v>
      </x:c>
      <x:c r="C69" s="12" t="str">
        <x:v>Nghiệm thu chương H03 và chống soft-lock</x:v>
      </x:c>
      <x:c r="D69" s="12" t="str">
        <x:v>Một người mới có thể hoàn tất chương và người quay lại vẫn thu được ký ức còn thiếu.</x:v>
      </x:c>
      <x:c r="E69" s="12" t="str">
        <x:v>ST-1601, ST-1602, ST-1603</x:v>
      </x:c>
      <x:c r="F69" s="12" t="n">
        <x:v>5</x:v>
      </x:c>
      <x:c r="G69" s="12" t="n">
        <x:f>COUNTIFS(Tasks!C$5:C$602,A69,Tasks!F$5:F$602,"DONE")</x:f>
        <x:v>0</x:v>
      </x:c>
      <x:c r="H69" s="22" t="n">
        <x:f>IFERROR(G69/F69,0)</x:f>
        <x:v>0</x:v>
      </x:c>
      <x:c r="I69" s="12" t="str">
        <x:v>R14, R18</x:v>
      </x:c>
    </x:row>
    <x:row r="70" ht="58" customHeight="1">
      <x:c r="A70" s="12" t="str">
        <x:v>ST-1701</x:v>
      </x:c>
      <x:c r="B70" s="12" t="str">
        <x:v>S17</x:v>
      </x:c>
      <x:c r="C70" s="12" t="str">
        <x:v>Khám phá Nhà bác Tư giữ trường và hiểu mục tiêu chương</x:v>
      </x:c>
      <x:c r="D70" s="12" t="str">
        <x:v>Người chơi vào H04 / hành lang trường / phòng hồ sơ và tự tìm được câu hỏi cần giải.</x:v>
      </x:c>
      <x:c r="E70" s="12" t="str">
        <x:v>ST-1604</x:v>
      </x:c>
      <x:c r="F70" s="12" t="n">
        <x:v>4</x:v>
      </x:c>
      <x:c r="G70" s="12" t="n">
        <x:f>COUNTIFS(Tasks!C$5:C$602,A70,Tasks!F$5:F$602,"DONE")</x:f>
        <x:v>0</x:v>
      </x:c>
      <x:c r="H70" s="22" t="n">
        <x:f>IFERROR(G70/F70,0)</x:f>
        <x:v>0</x:v>
      </x:c>
      <x:c r="I70" s="12" t="str">
        <x:v>R01, R06</x:v>
      </x:c>
    </x:row>
    <x:row r="71" ht="58" customHeight="1">
      <x:c r="A71" s="12" t="str">
        <x:v>ST-1702</x:v>
      </x:c>
      <x:c r="B71" s="12" t="str">
        <x:v>S17</x:v>
      </x:c>
      <x:c r="C71" s="12" t="str">
        <x:v>P14 — Tiết học cuối cùng</x:v>
      </x:c>
      <x:c r="D71" s="12" t="str">
        <x:v>Người chơi giải câu đố: Ghép thời khóa biểu và đồng hồ dừng ở hai phase để xác định thứ tự mở ba tủ lớp.</x:v>
      </x:c>
      <x:c r="E71" s="12" t="str">
        <x:v>ST-1701</x:v>
      </x:c>
      <x:c r="F71" s="12" t="n">
        <x:v>4</x:v>
      </x:c>
      <x:c r="G71" s="12" t="n">
        <x:f>COUNTIFS(Tasks!C$5:C$602,A71,Tasks!F$5:F$602,"DONE")</x:f>
        <x:v>0</x:v>
      </x:c>
      <x:c r="H71" s="22" t="n">
        <x:f>IFERROR(G71/F71,0)</x:f>
        <x:v>0</x:v>
      </x:c>
      <x:c r="I71" s="12" t="str">
        <x:v>R06, R08</x:v>
      </x:c>
    </x:row>
    <x:row r="72" ht="58" customHeight="1">
      <x:c r="A72" s="12" t="str">
        <x:v>ST-1703</x:v>
      </x:c>
      <x:c r="B72" s="12" t="str">
        <x:v>S17</x:v>
      </x:c>
      <x:c r="C72" s="12" t="str">
        <x:v>Art blockout và hero props cho H04</x:v>
      </x:c>
      <x:c r="D72" s="12" t="str">
        <x:v>Artist chuẩn bị Bảng lớp, tủ hồ sơ, vết bùn, giấy tờ dễ đọc và bác Tư biến thể rig chung phù hợp camera đã khóa.</x:v>
      </x:c>
      <x:c r="E72" s="12" t="str">
        <x:v>ST-1701, ST-1103</x:v>
      </x:c>
      <x:c r="F72" s="12" t="n">
        <x:v>4</x:v>
      </x:c>
      <x:c r="G72" s="12" t="n">
        <x:f>COUNTIFS(Tasks!C$5:C$602,A72,Tasks!F$5:F$602,"DONE")</x:f>
        <x:v>0</x:v>
      </x:c>
      <x:c r="H72" s="22" t="n">
        <x:f>IFERROR(G72/F72,0)</x:f>
        <x:v>0</x:v>
      </x:c>
      <x:c r="I72" s="12" t="str">
        <x:v>R12</x:v>
      </x:c>
    </x:row>
    <x:row r="73" ht="58" customHeight="1">
      <x:c r="A73" s="12" t="str">
        <x:v>ST-1704</x:v>
      </x:c>
      <x:c r="B73" s="12" t="str">
        <x:v>S17</x:v>
      </x:c>
      <x:c r="C73" s="12" t="str">
        <x:v>P15 và ký ức tùy chọn của H04</x:v>
      </x:c>
      <x:c r="D73" s="12" t="str">
        <x:v>Người chơi hoàn tất chương qua Hồ sơ dưới vết bùn và có thể tìm thêm M04 — Sơ đồ cửa sau trường hướng lên đồi.</x:v>
      </x:c>
      <x:c r="E73" s="12" t="str">
        <x:v>ST-1702, ST-1703</x:v>
      </x:c>
      <x:c r="F73" s="12" t="n">
        <x:v>4</x:v>
      </x:c>
      <x:c r="G73" s="12" t="n">
        <x:f>COUNTIFS(Tasks!C$5:C$602,A73,Tasks!F$5:F$602,"DONE")</x:f>
        <x:v>0</x:v>
      </x:c>
      <x:c r="H73" s="22" t="n">
        <x:f>IFERROR(G73/F73,0)</x:f>
        <x:v>0</x:v>
      </x:c>
      <x:c r="I73" s="12" t="str">
        <x:v>R06, R07, R08</x:v>
      </x:c>
    </x:row>
    <x:row r="74" ht="58" customHeight="1">
      <x:c r="A74" s="12" t="str">
        <x:v>ST-1801</x:v>
      </x:c>
      <x:c r="B74" s="12" t="str">
        <x:v>S18</x:v>
      </x:c>
      <x:c r="C74" s="12" t="str">
        <x:v>Kể trọn bí mật H04 trong gameplay</x:v>
      </x:c>
      <x:c r="D74" s="12" t="str">
        <x:v>Người chơi trải nghiệm: Bác Tư phủ nhận có trường ở cuối đường; nhật ký lớp chứa một khoảng trống ở dòng tên An.</x:v>
      </x:c>
      <x:c r="E74" s="12" t="str">
        <x:v>ST-1704</x:v>
      </x:c>
      <x:c r="F74" s="12" t="n">
        <x:v>4</x:v>
      </x:c>
      <x:c r="G74" s="12" t="n">
        <x:f>COUNTIFS(Tasks!C$5:C$602,A74,Tasks!F$5:F$602,"DONE")</x:f>
        <x:v>0</x:v>
      </x:c>
      <x:c r="H74" s="22" t="n">
        <x:f>IFERROR(G74/F74,0)</x:f>
        <x:v>0</x:v>
      </x:c>
      <x:c r="I74" s="12" t="str">
        <x:v>R01, R07, R09</x:v>
      </x:c>
    </x:row>
    <x:row r="75" ht="58" customHeight="1">
      <x:c r="A75" s="12" t="str">
        <x:v>ST-1802</x:v>
      </x:c>
      <x:c r="B75" s="12" t="str">
        <x:v>S18</x:v>
      </x:c>
      <x:c r="C75" s="12" t="str">
        <x:v>Art final và diễn xuất H04</x:v>
      </x:c>
      <x:c r="D75" s="12" t="str">
        <x:v>Người chơi thấy Bảng lớp, tủ hồ sơ, vết bùn, giấy tờ dễ đọc và bác Tư biến thể rig chung đạt golden sample của game.</x:v>
      </x:c>
      <x:c r="E75" s="12" t="str">
        <x:v>ST-1703, ST-1801</x:v>
      </x:c>
      <x:c r="F75" s="12" t="n">
        <x:v>4</x:v>
      </x:c>
      <x:c r="G75" s="12" t="n">
        <x:f>COUNTIFS(Tasks!C$5:C$602,A75,Tasks!F$5:F$602,"DONE")</x:f>
        <x:v>0</x:v>
      </x:c>
      <x:c r="H75" s="22" t="n">
        <x:f>IFERROR(G75/F75,0)</x:f>
        <x:v>0</x:v>
      </x:c>
      <x:c r="I75" s="12" t="str">
        <x:v>R12</x:v>
      </x:c>
    </x:row>
    <x:row r="76" ht="58" customHeight="1">
      <x:c r="A76" s="12" t="str">
        <x:v>ST-1803</x:v>
      </x:c>
      <x:c r="B76" s="12" t="str">
        <x:v>S18</x:v>
      </x:c>
      <x:c r="C76" s="12" t="str">
        <x:v>Âm thanh dẫn cảm xúc chương H04</x:v>
      </x:c>
      <x:c r="D76" s="12" t="str">
        <x:v>Người chơi cảm nhận Chuông lớp méo, bước chân hành lang, cue knock phù hợp góc camera và captions.</x:v>
      </x:c>
      <x:c r="E76" s="12" t="str">
        <x:v>ST-1801</x:v>
      </x:c>
      <x:c r="F76" s="12" t="n">
        <x:v>4</x:v>
      </x:c>
      <x:c r="G76" s="12" t="n">
        <x:f>COUNTIFS(Tasks!C$5:C$602,A76,Tasks!F$5:F$602,"DONE")</x:f>
        <x:v>0</x:v>
      </x:c>
      <x:c r="H76" s="22" t="n">
        <x:f>IFERROR(G76/F76,0)</x:f>
        <x:v>0</x:v>
      </x:c>
      <x:c r="I76" s="12" t="str">
        <x:v>R13, R11</x:v>
      </x:c>
    </x:row>
    <x:row r="77" ht="58" customHeight="1">
      <x:c r="A77" s="12" t="str">
        <x:v>ST-1804</x:v>
      </x:c>
      <x:c r="B77" s="12" t="str">
        <x:v>S18</x:v>
      </x:c>
      <x:c r="C77" s="12" t="str">
        <x:v>Nghiệm thu chương H04 và chống soft-lock</x:v>
      </x:c>
      <x:c r="D77" s="12" t="str">
        <x:v>Một người mới có thể hoàn tất chương và người quay lại vẫn thu được ký ức còn thiếu.</x:v>
      </x:c>
      <x:c r="E77" s="12" t="str">
        <x:v>ST-1801, ST-1802, ST-1803</x:v>
      </x:c>
      <x:c r="F77" s="12" t="n">
        <x:v>5</x:v>
      </x:c>
      <x:c r="G77" s="12" t="n">
        <x:f>COUNTIFS(Tasks!C$5:C$602,A77,Tasks!F$5:F$602,"DONE")</x:f>
        <x:v>0</x:v>
      </x:c>
      <x:c r="H77" s="22" t="n">
        <x:f>IFERROR(G77/F77,0)</x:f>
        <x:v>0</x:v>
      </x:c>
      <x:c r="I77" s="12" t="str">
        <x:v>R14, R18</x:v>
      </x:c>
    </x:row>
    <x:row r="78" ht="58" customHeight="1">
      <x:c r="A78" s="12" t="str">
        <x:v>ST-1901</x:v>
      </x:c>
      <x:c r="B78" s="12" t="str">
        <x:v>S19</x:v>
      </x:c>
      <x:c r="C78" s="12" t="str">
        <x:v>Khám phá Nhà bà Hảo, bạn của mẹ và hiểu mục tiêu chương</x:v>
      </x:c>
      <x:c r="D78" s="12" t="str">
        <x:v>Người chơi vào H05 / phòng nhật ký / sân ký ức và tự tìm được câu hỏi cần giải.</x:v>
      </x:c>
      <x:c r="E78" s="12" t="str">
        <x:v>ST-1804</x:v>
      </x:c>
      <x:c r="F78" s="12" t="n">
        <x:v>4</x:v>
      </x:c>
      <x:c r="G78" s="12" t="n">
        <x:f>COUNTIFS(Tasks!C$5:C$602,A78,Tasks!F$5:F$602,"DONE")</x:f>
        <x:v>0</x:v>
      </x:c>
      <x:c r="H78" s="22" t="n">
        <x:f>IFERROR(G78/F78,0)</x:f>
        <x:v>0</x:v>
      </x:c>
      <x:c r="I78" s="12" t="str">
        <x:v>R01, R06</x:v>
      </x:c>
    </x:row>
    <x:row r="79" ht="58" customHeight="1">
      <x:c r="A79" s="12" t="str">
        <x:v>ST-1902</x:v>
      </x:c>
      <x:c r="B79" s="12" t="str">
        <x:v>S19</x:v>
      </x:c>
      <x:c r="C79" s="12" t="str">
        <x:v>P17 — Ba ngày trên một lá thư</x:v>
      </x:c>
      <x:c r="D79" s="12" t="str">
        <x:v>Người chơi giải câu đố: Ghép ba mốc thư/nhật ký theo dấu môi trường để phân biệt trận lũ, lần giữ chuông và lần mẹ chuẩn bị đèn.</x:v>
      </x:c>
      <x:c r="E79" s="12" t="str">
        <x:v>ST-1901</x:v>
      </x:c>
      <x:c r="F79" s="12" t="n">
        <x:v>4</x:v>
      </x:c>
      <x:c r="G79" s="12" t="n">
        <x:f>COUNTIFS(Tasks!C$5:C$602,A79,Tasks!F$5:F$602,"DONE")</x:f>
        <x:v>0</x:v>
      </x:c>
      <x:c r="H79" s="22" t="n">
        <x:f>IFERROR(G79/F79,0)</x:f>
        <x:v>0</x:v>
      </x:c>
      <x:c r="I79" s="12" t="str">
        <x:v>R06, R08</x:v>
      </x:c>
    </x:row>
    <x:row r="80" ht="58" customHeight="1">
      <x:c r="A80" s="12" t="str">
        <x:v>ST-1903</x:v>
      </x:c>
      <x:c r="B80" s="12" t="str">
        <x:v>S19</x:v>
      </x:c>
      <x:c r="C80" s="12" t="str">
        <x:v>Art blockout và hero props cho H05</x:v>
      </x:c>
      <x:c r="D80" s="12" t="str">
        <x:v>Artist chuẩn bị Nhật ký, cửa chớp, đèn cũ, chân dung mẹ 2D và bà Hảo biến thể rig chung phù hợp camera đã khóa.</x:v>
      </x:c>
      <x:c r="E80" s="12" t="str">
        <x:v>ST-1901, ST-1103</x:v>
      </x:c>
      <x:c r="F80" s="12" t="n">
        <x:v>4</x:v>
      </x:c>
      <x:c r="G80" s="12" t="n">
        <x:f>COUNTIFS(Tasks!C$5:C$602,A80,Tasks!F$5:F$602,"DONE")</x:f>
        <x:v>0</x:v>
      </x:c>
      <x:c r="H80" s="22" t="n">
        <x:f>IFERROR(G80/F80,0)</x:f>
        <x:v>0</x:v>
      </x:c>
      <x:c r="I80" s="12" t="str">
        <x:v>R12</x:v>
      </x:c>
    </x:row>
    <x:row r="81" ht="58" customHeight="1">
      <x:c r="A81" s="12" t="str">
        <x:v>ST-1904</x:v>
      </x:c>
      <x:c r="B81" s="12" t="str">
        <x:v>S19</x:v>
      </x:c>
      <x:c r="C81" s="12" t="str">
        <x:v>P18 và ký ức tùy chọn của H05</x:v>
      </x:c>
      <x:c r="D81" s="12" t="str">
        <x:v>Người chơi hoàn tất chương qua Ánh đèn qua hai căn phòng và có thể tìm thêm M05 — Ghi chú mẹ về đoạn đường vượt sân sau.</x:v>
      </x:c>
      <x:c r="E81" s="12" t="str">
        <x:v>ST-1902, ST-1903</x:v>
      </x:c>
      <x:c r="F81" s="12" t="n">
        <x:v>4</x:v>
      </x:c>
      <x:c r="G81" s="12" t="n">
        <x:f>COUNTIFS(Tasks!C$5:C$602,A81,Tasks!F$5:F$602,"DONE")</x:f>
        <x:v>0</x:v>
      </x:c>
      <x:c r="H81" s="22" t="n">
        <x:f>IFERROR(G81/F81,0)</x:f>
        <x:v>0</x:v>
      </x:c>
      <x:c r="I81" s="12" t="str">
        <x:v>R06, R07, R08</x:v>
      </x:c>
    </x:row>
    <x:row r="82" ht="58" customHeight="1">
      <x:c r="A82" s="12" t="str">
        <x:v>ST-2001</x:v>
      </x:c>
      <x:c r="B82" s="12" t="str">
        <x:v>S20</x:v>
      </x:c>
      <x:c r="C82" s="12" t="str">
        <x:v>Kể trọn bí mật H05 trong gameplay</x:v>
      </x:c>
      <x:c r="D82" s="12" t="str">
        <x:v>Người chơi trải nghiệm: Bà Hảo đưa vật mẹ gửi; Minh bắt đầu nhận ra nỗi sợ của mẹ chứ chưa biết mặt người neo.</x:v>
      </x:c>
      <x:c r="E82" s="12" t="str">
        <x:v>ST-1904</x:v>
      </x:c>
      <x:c r="F82" s="12" t="n">
        <x:v>4</x:v>
      </x:c>
      <x:c r="G82" s="12" t="n">
        <x:f>COUNTIFS(Tasks!C$5:C$602,A82,Tasks!F$5:F$602,"DONE")</x:f>
        <x:v>0</x:v>
      </x:c>
      <x:c r="H82" s="22" t="n">
        <x:f>IFERROR(G82/F82,0)</x:f>
        <x:v>0</x:v>
      </x:c>
      <x:c r="I82" s="12" t="str">
        <x:v>R01, R07, R09</x:v>
      </x:c>
    </x:row>
    <x:row r="83" ht="58" customHeight="1">
      <x:c r="A83" s="12" t="str">
        <x:v>ST-2002</x:v>
      </x:c>
      <x:c r="B83" s="12" t="str">
        <x:v>S20</x:v>
      </x:c>
      <x:c r="C83" s="12" t="str">
        <x:v>Art final và diễn xuất H05</x:v>
      </x:c>
      <x:c r="D83" s="12" t="str">
        <x:v>Người chơi thấy Nhật ký, cửa chớp, đèn cũ, chân dung mẹ 2D và bà Hảo biến thể rig chung đạt golden sample của game.</x:v>
      </x:c>
      <x:c r="E83" s="12" t="str">
        <x:v>ST-1903, ST-2001</x:v>
      </x:c>
      <x:c r="F83" s="12" t="n">
        <x:v>4</x:v>
      </x:c>
      <x:c r="G83" s="12" t="n">
        <x:f>COUNTIFS(Tasks!C$5:C$602,A83,Tasks!F$5:F$602,"DONE")</x:f>
        <x:v>0</x:v>
      </x:c>
      <x:c r="H83" s="22" t="n">
        <x:f>IFERROR(G83/F83,0)</x:f>
        <x:v>0</x:v>
      </x:c>
      <x:c r="I83" s="12" t="str">
        <x:v>R12</x:v>
      </x:c>
    </x:row>
    <x:row r="84" ht="58" customHeight="1">
      <x:c r="A84" s="12" t="str">
        <x:v>ST-2003</x:v>
      </x:c>
      <x:c r="B84" s="12" t="str">
        <x:v>S20</x:v>
      </x:c>
      <x:c r="C84" s="12" t="str">
        <x:v>Âm thanh dẫn cảm xúc chương H05</x:v>
      </x:c>
      <x:c r="D84" s="12" t="str">
        <x:v>Người chơi cảm nhận Chương nghỉ nhịp: gió nhẹ, giấy, motif mẹ; không chase hoặc jumpscare chèn thêm.</x:v>
      </x:c>
      <x:c r="E84" s="12" t="str">
        <x:v>ST-2001</x:v>
      </x:c>
      <x:c r="F84" s="12" t="n">
        <x:v>4</x:v>
      </x:c>
      <x:c r="G84" s="12" t="n">
        <x:f>COUNTIFS(Tasks!C$5:C$602,A84,Tasks!F$5:F$602,"DONE")</x:f>
        <x:v>0</x:v>
      </x:c>
      <x:c r="H84" s="22" t="n">
        <x:f>IFERROR(G84/F84,0)</x:f>
        <x:v>0</x:v>
      </x:c>
      <x:c r="I84" s="12" t="str">
        <x:v>R13, R11</x:v>
      </x:c>
    </x:row>
    <x:row r="85" ht="58" customHeight="1">
      <x:c r="A85" s="12" t="str">
        <x:v>ST-2004</x:v>
      </x:c>
      <x:c r="B85" s="12" t="str">
        <x:v>S20</x:v>
      </x:c>
      <x:c r="C85" s="12" t="str">
        <x:v>Nghiệm thu chương H05 và chống soft-lock</x:v>
      </x:c>
      <x:c r="D85" s="12" t="str">
        <x:v>Một người mới có thể hoàn tất chương và người quay lại vẫn thu được ký ức còn thiếu.</x:v>
      </x:c>
      <x:c r="E85" s="12" t="str">
        <x:v>ST-2001, ST-2002, ST-2003</x:v>
      </x:c>
      <x:c r="F85" s="12" t="n">
        <x:v>5</x:v>
      </x:c>
      <x:c r="G85" s="12" t="n">
        <x:f>COUNTIFS(Tasks!C$5:C$602,A85,Tasks!F$5:F$602,"DONE")</x:f>
        <x:v>0</x:v>
      </x:c>
      <x:c r="H85" s="22" t="n">
        <x:f>IFERROR(G85/F85,0)</x:f>
        <x:v>0</x:v>
      </x:c>
      <x:c r="I85" s="12" t="str">
        <x:v>R14, R18</x:v>
      </x:c>
    </x:row>
    <x:row r="86" ht="58" customHeight="1">
      <x:c r="A86" s="12" t="str">
        <x:v>ST-2005</x:v>
      </x:c>
      <x:c r="B86" s="12" t="str">
        <x:v>S20</x:v>
      </x:c>
      <x:c r="C86" s="12" t="str">
        <x:v>Cập nhật truyền thông trong giai đoạn sản xuất CH5</x:v>
      </x:c>
      <x:c r="D86" s="12" t="str">
        <x:v>Người theo dõi thấy tiến triển thật mà không bị lộ twist An.</x:v>
      </x:c>
      <x:c r="E86" s="12" t="str">
        <x:v>ST-1804, ST-1405</x:v>
      </x:c>
      <x:c r="F86" s="12" t="n">
        <x:v>5</x:v>
      </x:c>
      <x:c r="G86" s="12" t="n">
        <x:f>COUNTIFS(Tasks!C$5:C$602,A86,Tasks!F$5:F$602,"DONE")</x:f>
        <x:v>0</x:v>
      </x:c>
      <x:c r="H86" s="22" t="n">
        <x:f>IFERROR(G86/F86,0)</x:f>
        <x:v>0</x:v>
      </x:c>
      <x:c r="I86" s="12" t="str">
        <x:v>R15</x:v>
      </x:c>
    </x:row>
    <x:row r="87" ht="58" customHeight="1">
      <x:c r="A87" s="12" t="str">
        <x:v>ST-2101</x:v>
      </x:c>
      <x:c r="B87" s="12" t="str">
        <x:v>S21</x:v>
      </x:c>
      <x:c r="C87" s="12" t="str">
        <x:v>Khám phá Nhà người giữ chuông và hiểu mục tiêu chương</x:v>
      </x:c>
      <x:c r="D87" s="12" t="str">
        <x:v>Người chơi vào H06 / lối tháp / buồng chuông và tự tìm được câu hỏi cần giải.</x:v>
      </x:c>
      <x:c r="E87" s="12" t="str">
        <x:v>ST-2004</x:v>
      </x:c>
      <x:c r="F87" s="12" t="n">
        <x:v>4</x:v>
      </x:c>
      <x:c r="G87" s="12" t="n">
        <x:f>COUNTIFS(Tasks!C$5:C$602,A87,Tasks!F$5:F$602,"DONE")</x:f>
        <x:v>0</x:v>
      </x:c>
      <x:c r="H87" s="22" t="n">
        <x:f>IFERROR(G87/F87,0)</x:f>
        <x:v>0</x:v>
      </x:c>
      <x:c r="I87" s="12" t="str">
        <x:v>R01, R06</x:v>
      </x:c>
    </x:row>
    <x:row r="88" ht="58" customHeight="1">
      <x:c r="A88" s="12" t="str">
        <x:v>ST-2102</x:v>
      </x:c>
      <x:c r="B88" s="12" t="str">
        <x:v>S21</x:v>
      </x:c>
      <x:c r="C88" s="12" t="str">
        <x:v>P22 — Lối đi dưới ba hồi chuông</x:v>
      </x:c>
      <x:c r="D88" s="12" t="str">
        <x:v>Người chơi giải câu đố: Chốt ba đòn đối trọng theo dấu ký ức để mở lối quanh tháp qua hai phase.</x:v>
      </x:c>
      <x:c r="E88" s="12" t="str">
        <x:v>ST-2101</x:v>
      </x:c>
      <x:c r="F88" s="12" t="n">
        <x:v>4</x:v>
      </x:c>
      <x:c r="G88" s="12" t="n">
        <x:f>COUNTIFS(Tasks!C$5:C$602,A88,Tasks!F$5:F$602,"DONE")</x:f>
        <x:v>0</x:v>
      </x:c>
      <x:c r="H88" s="22" t="n">
        <x:f>IFERROR(G88/F88,0)</x:f>
        <x:v>0</x:v>
      </x:c>
      <x:c r="I88" s="12" t="str">
        <x:v>R06, R08</x:v>
      </x:c>
    </x:row>
    <x:row r="89" ht="58" customHeight="1">
      <x:c r="A89" s="12" t="str">
        <x:v>ST-2103</x:v>
      </x:c>
      <x:c r="B89" s="12" t="str">
        <x:v>S21</x:v>
      </x:c>
      <x:c r="C89" s="12" t="str">
        <x:v>Art blockout và hero props cho H06</x:v>
      </x:c>
      <x:c r="D89" s="12" t="str">
        <x:v>Artist chuẩn bị Chuông, đối trọng, cầu tháp, model An hoàn thiện và người giữ chuông biến thể rig chung phù hợp camera đã khóa.</x:v>
      </x:c>
      <x:c r="E89" s="12" t="str">
        <x:v>ST-2101, ST-1103</x:v>
      </x:c>
      <x:c r="F89" s="12" t="n">
        <x:v>4</x:v>
      </x:c>
      <x:c r="G89" s="12" t="n">
        <x:f>COUNTIFS(Tasks!C$5:C$602,A89,Tasks!F$5:F$602,"DONE")</x:f>
        <x:v>0</x:v>
      </x:c>
      <x:c r="H89" s="22" t="n">
        <x:f>IFERROR(G89/F89,0)</x:f>
        <x:v>0</x:v>
      </x:c>
      <x:c r="I89" s="12" t="str">
        <x:v>R12</x:v>
      </x:c>
    </x:row>
    <x:row r="90" ht="58" customHeight="1">
      <x:c r="A90" s="12" t="str">
        <x:v>ST-2104</x:v>
      </x:c>
      <x:c r="B90" s="12" t="str">
        <x:v>S21</x:v>
      </x:c>
      <x:c r="C90" s="12" t="str">
        <x:v>P23 và ký ức tùy chọn của H06</x:v>
      </x:c>
      <x:c r="D90" s="12" t="str">
        <x:v>Người chơi hoàn tất chương qua Người trong bức ảnh và có thể tìm thêm M06 — Bản ghi đối trọng chỉ tuyến thoát từ tháp.</x:v>
      </x:c>
      <x:c r="E90" s="12" t="str">
        <x:v>ST-2102, ST-2103</x:v>
      </x:c>
      <x:c r="F90" s="12" t="n">
        <x:v>4</x:v>
      </x:c>
      <x:c r="G90" s="12" t="n">
        <x:f>COUNTIFS(Tasks!C$5:C$602,A90,Tasks!F$5:F$602,"DONE")</x:f>
        <x:v>0</x:v>
      </x:c>
      <x:c r="H90" s="22" t="n">
        <x:f>IFERROR(G90/F90,0)</x:f>
        <x:v>0</x:v>
      </x:c>
      <x:c r="I90" s="12" t="str">
        <x:v>R06, R07, R08</x:v>
      </x:c>
    </x:row>
    <x:row r="91" ht="58" customHeight="1">
      <x:c r="A91" s="12" t="str">
        <x:v>ST-2201</x:v>
      </x:c>
      <x:c r="B91" s="12" t="str">
        <x:v>S22</x:v>
      </x:c>
      <x:c r="C91" s="12" t="str">
        <x:v>Kể trọn bí mật H06 trong gameplay</x:v>
      </x:c>
      <x:c r="D91" s="12" t="str">
        <x:v>Người chơi trải nghiệm: An có cuộc đối thoại ngắn rõ cảm xúc; skip giữ reveal_an=true, không xóa bằng chứng.</x:v>
      </x:c>
      <x:c r="E91" s="12" t="str">
        <x:v>ST-2104</x:v>
      </x:c>
      <x:c r="F91" s="12" t="n">
        <x:v>4</x:v>
      </x:c>
      <x:c r="G91" s="12" t="n">
        <x:f>COUNTIFS(Tasks!C$5:C$602,A91,Tasks!F$5:F$602,"DONE")</x:f>
        <x:v>0</x:v>
      </x:c>
      <x:c r="H91" s="22" t="n">
        <x:f>IFERROR(G91/F91,0)</x:f>
        <x:v>0</x:v>
      </x:c>
      <x:c r="I91" s="12" t="str">
        <x:v>R01, R07, R09</x:v>
      </x:c>
    </x:row>
    <x:row r="92" ht="58" customHeight="1">
      <x:c r="A92" s="12" t="str">
        <x:v>ST-2202</x:v>
      </x:c>
      <x:c r="B92" s="12" t="str">
        <x:v>S22</x:v>
      </x:c>
      <x:c r="C92" s="12" t="str">
        <x:v>Art final và diễn xuất H06</x:v>
      </x:c>
      <x:c r="D92" s="12" t="str">
        <x:v>Người chơi thấy Chuông, đối trọng, cầu tháp, model An hoàn thiện và người giữ chuông biến thể rig chung đạt golden sample của game.</x:v>
      </x:c>
      <x:c r="E92" s="12" t="str">
        <x:v>ST-2103, ST-2201</x:v>
      </x:c>
      <x:c r="F92" s="12" t="n">
        <x:v>4</x:v>
      </x:c>
      <x:c r="G92" s="12" t="n">
        <x:f>COUNTIFS(Tasks!C$5:C$602,A92,Tasks!F$5:F$602,"DONE")</x:f>
        <x:v>0</x:v>
      </x:c>
      <x:c r="H92" s="22" t="n">
        <x:f>IFERROR(G92/F92,0)</x:f>
        <x:v>0</x:v>
      </x:c>
      <x:c r="I92" s="12" t="str">
        <x:v>R12</x:v>
      </x:c>
    </x:row>
    <x:row r="93" ht="58" customHeight="1">
      <x:c r="A93" s="12" t="str">
        <x:v>ST-2203</x:v>
      </x:c>
      <x:c r="B93" s="12" t="str">
        <x:v>S22</x:v>
      </x:c>
      <x:c r="C93" s="12" t="str">
        <x:v>Âm thanh dẫn cảm xúc chương H06</x:v>
      </x:c>
      <x:c r="D93" s="12" t="str">
        <x:v>Người chơi cảm nhận Motif An và chuông tách stems; encounter bảo vệ tháp dùng cùng Knocker, không boss combat.</x:v>
      </x:c>
      <x:c r="E93" s="12" t="str">
        <x:v>ST-2201</x:v>
      </x:c>
      <x:c r="F93" s="12" t="n">
        <x:v>4</x:v>
      </x:c>
      <x:c r="G93" s="12" t="n">
        <x:f>COUNTIFS(Tasks!C$5:C$602,A93,Tasks!F$5:F$602,"DONE")</x:f>
        <x:v>0</x:v>
      </x:c>
      <x:c r="H93" s="22" t="n">
        <x:f>IFERROR(G93/F93,0)</x:f>
        <x:v>0</x:v>
      </x:c>
      <x:c r="I93" s="12" t="str">
        <x:v>R13, R11</x:v>
      </x:c>
    </x:row>
    <x:row r="94" ht="58" customHeight="1">
      <x:c r="A94" s="12" t="str">
        <x:v>ST-2204</x:v>
      </x:c>
      <x:c r="B94" s="12" t="str">
        <x:v>S22</x:v>
      </x:c>
      <x:c r="C94" s="12" t="str">
        <x:v>Nghiệm thu chương H06 và chống soft-lock</x:v>
      </x:c>
      <x:c r="D94" s="12" t="str">
        <x:v>Một người mới có thể hoàn tất chương và người quay lại vẫn thu được ký ức còn thiếu.</x:v>
      </x:c>
      <x:c r="E94" s="12" t="str">
        <x:v>ST-2201, ST-2202, ST-2203</x:v>
      </x:c>
      <x:c r="F94" s="12" t="n">
        <x:v>5</x:v>
      </x:c>
      <x:c r="G94" s="12" t="n">
        <x:f>COUNTIFS(Tasks!C$5:C$602,A94,Tasks!F$5:F$602,"DONE")</x:f>
        <x:v>0</x:v>
      </x:c>
      <x:c r="H94" s="22" t="n">
        <x:f>IFERROR(G94/F94,0)</x:f>
        <x:v>0</x:v>
      </x:c>
      <x:c r="I94" s="12" t="str">
        <x:v>R14, R18</x:v>
      </x:c>
    </x:row>
    <x:row r="95" ht="58" customHeight="1">
      <x:c r="A95" s="12" t="str">
        <x:v>ST-2301</x:v>
      </x:c>
      <x:c r="B95" s="12" t="str">
        <x:v>S23</x:v>
      </x:c>
      <x:c r="C95" s="12" t="str">
        <x:v>Khám phá Nhà Minh trong đêm lũ và hiểu mục tiêu chương</x:v>
      </x:c>
      <x:c r="D95" s="12" t="str">
        <x:v>Người chơi vào H07 / tuyến sơ tán 3 cụm / đồi và tự tìm được câu hỏi cần giải.</x:v>
      </x:c>
      <x:c r="E95" s="12" t="str">
        <x:v>ST-2204</x:v>
      </x:c>
      <x:c r="F95" s="12" t="n">
        <x:v>4</x:v>
      </x:c>
      <x:c r="G95" s="12" t="n">
        <x:f>COUNTIFS(Tasks!C$5:C$602,A95,Tasks!F$5:F$602,"DONE")</x:f>
        <x:v>0</x:v>
      </x:c>
      <x:c r="H95" s="22" t="n">
        <x:f>IFERROR(G95/F95,0)</x:f>
        <x:v>0</x:v>
      </x:c>
      <x:c r="I95" s="12" t="str">
        <x:v>R01, R06</x:v>
      </x:c>
    </x:row>
    <x:row r="96" ht="58" customHeight="1">
      <x:c r="A96" s="12" t="str">
        <x:v>ST-2302</x:v>
      </x:c>
      <x:c r="B96" s="12" t="str">
        <x:v>S23</x:v>
      </x:c>
      <x:c r="C96" s="12" t="str">
        <x:v>P27 — Tuyến đường của bảy ký ức</x:v>
      </x:c>
      <x:c r="D96" s="12" t="str">
        <x:v>Người chơi giải câu đố: Nối các điểm neo đã biết để đi vào nhà quá khứ; bộ route fragments mở thêm lời giải sơ tán.</x:v>
      </x:c>
      <x:c r="E96" s="12" t="str">
        <x:v>ST-2301</x:v>
      </x:c>
      <x:c r="F96" s="12" t="n">
        <x:v>4</x:v>
      </x:c>
      <x:c r="G96" s="12" t="n">
        <x:f>COUNTIFS(Tasks!C$5:C$602,A96,Tasks!F$5:F$602,"DONE")</x:f>
        <x:v>0</x:v>
      </x:c>
      <x:c r="H96" s="22" t="n">
        <x:f>IFERROR(G96/F96,0)</x:f>
        <x:v>0</x:v>
      </x:c>
      <x:c r="I96" s="12" t="str">
        <x:v>R06, R08</x:v>
      </x:c>
    </x:row>
    <x:row r="97" ht="58" customHeight="1">
      <x:c r="A97" s="12" t="str">
        <x:v>ST-2303</x:v>
      </x:c>
      <x:c r="B97" s="12" t="str">
        <x:v>S23</x:v>
      </x:c>
      <x:c r="C97" s="12" t="str">
        <x:v>Art blockout và hero props cho H07</x:v>
      </x:c>
      <x:c r="D97" s="12" t="str">
        <x:v>Artist chuẩn bị Nhà Minh variant quá khứ, mặt nước dàn dựng, ba cụm sơ tán và nền đồi bình minh phù hợp camera đã khóa.</x:v>
      </x:c>
      <x:c r="E97" s="12" t="str">
        <x:v>ST-2301, ST-1103</x:v>
      </x:c>
      <x:c r="F97" s="12" t="n">
        <x:v>4</x:v>
      </x:c>
      <x:c r="G97" s="12" t="n">
        <x:f>COUNTIFS(Tasks!C$5:C$602,A97,Tasks!F$5:F$602,"DONE")</x:f>
        <x:v>0</x:v>
      </x:c>
      <x:c r="H97" s="22" t="n">
        <x:f>IFERROR(G97/F97,0)</x:f>
        <x:v>0</x:v>
      </x:c>
      <x:c r="I97" s="12" t="str">
        <x:v>R12</x:v>
      </x:c>
    </x:row>
    <x:row r="98" ht="58" customHeight="1">
      <x:c r="A98" s="12" t="str">
        <x:v>ST-2304</x:v>
      </x:c>
      <x:c r="B98" s="12" t="str">
        <x:v>S23</x:v>
      </x:c>
      <x:c r="C98" s="12" t="str">
        <x:v>P28 và ký ức tùy chọn của H07</x:v>
      </x:c>
      <x:c r="D98" s="12" t="str">
        <x:v>Người chơi hoàn tất chương qua Cơ chế trả lại thời gian và có thể tìm thêm M07 — Đường cuối từ nhà Minh lên đồi.</x:v>
      </x:c>
      <x:c r="E98" s="12" t="str">
        <x:v>ST-2302, ST-2303</x:v>
      </x:c>
      <x:c r="F98" s="12" t="n">
        <x:v>4</x:v>
      </x:c>
      <x:c r="G98" s="12" t="n">
        <x:f>COUNTIFS(Tasks!C$5:C$602,A98,Tasks!F$5:F$602,"DONE")</x:f>
        <x:v>0</x:v>
      </x:c>
      <x:c r="H98" s="22" t="n">
        <x:f>IFERROR(G98/F98,0)</x:f>
        <x:v>0</x:v>
      </x:c>
      <x:c r="I98" s="12" t="str">
        <x:v>R06, R07, R08</x:v>
      </x:c>
    </x:row>
    <x:row r="99" ht="58" customHeight="1">
      <x:c r="A99" s="12" t="str">
        <x:v>ST-2401</x:v>
      </x:c>
      <x:c r="B99" s="12" t="str">
        <x:v>S24</x:v>
      </x:c>
      <x:c r="C99" s="12" t="str">
        <x:v>Kể trọn bí mật H07 trong gameplay</x:v>
      </x:c>
      <x:c r="D99" s="12" t="str">
        <x:v>Người chơi trải nghiệm: Minh/An đối thoại trước lựa chọn; cho quay lại memory routes thu M còn thiếu trước point of no return.</x:v>
      </x:c>
      <x:c r="E99" s="12" t="str">
        <x:v>ST-2304</x:v>
      </x:c>
      <x:c r="F99" s="12" t="n">
        <x:v>4</x:v>
      </x:c>
      <x:c r="G99" s="12" t="n">
        <x:f>COUNTIFS(Tasks!C$5:C$602,A99,Tasks!F$5:F$602,"DONE")</x:f>
        <x:v>0</x:v>
      </x:c>
      <x:c r="H99" s="22" t="n">
        <x:f>IFERROR(G99/F99,0)</x:f>
        <x:v>0</x:v>
      </x:c>
      <x:c r="I99" s="12" t="str">
        <x:v>R01, R07, R09</x:v>
      </x:c>
    </x:row>
    <x:row r="100" ht="58" customHeight="1">
      <x:c r="A100" s="12" t="str">
        <x:v>ST-2402</x:v>
      </x:c>
      <x:c r="B100" s="12" t="str">
        <x:v>S24</x:v>
      </x:c>
      <x:c r="C100" s="12" t="str">
        <x:v>Art final và diễn xuất H07</x:v>
      </x:c>
      <x:c r="D100" s="12" t="str">
        <x:v>Người chơi thấy Nhà Minh variant quá khứ, mặt nước dàn dựng, ba cụm sơ tán và nền đồi bình minh đạt golden sample của game.</x:v>
      </x:c>
      <x:c r="E100" s="12" t="str">
        <x:v>ST-2303, ST-2401</x:v>
      </x:c>
      <x:c r="F100" s="12" t="n">
        <x:v>4</x:v>
      </x:c>
      <x:c r="G100" s="12" t="n">
        <x:f>COUNTIFS(Tasks!C$5:C$602,A100,Tasks!F$5:F$602,"DONE")</x:f>
        <x:v>0</x:v>
      </x:c>
      <x:c r="H100" s="22" t="n">
        <x:f>IFERROR(G100/F100,0)</x:f>
        <x:v>0</x:v>
      </x:c>
      <x:c r="I100" s="12" t="str">
        <x:v>R12</x:v>
      </x:c>
    </x:row>
    <x:row r="101" ht="58" customHeight="1">
      <x:c r="A101" s="12" t="str">
        <x:v>ST-2403</x:v>
      </x:c>
      <x:c r="B101" s="12" t="str">
        <x:v>S24</x:v>
      </x:c>
      <x:c r="C101" s="12" t="str">
        <x:v>Âm thanh dẫn cảm xúc chương H07</x:v>
      </x:c>
      <x:c r="D101" s="12" t="str">
        <x:v>Người chơi cảm nhận Nước/chuông tăng theo beat, motif hai anh em và âm bình minh; pause dừng áp lực đúng cách.</x:v>
      </x:c>
      <x:c r="E101" s="12" t="str">
        <x:v>ST-2401</x:v>
      </x:c>
      <x:c r="F101" s="12" t="n">
        <x:v>4</x:v>
      </x:c>
      <x:c r="G101" s="12" t="n">
        <x:f>COUNTIFS(Tasks!C$5:C$602,A101,Tasks!F$5:F$602,"DONE")</x:f>
        <x:v>0</x:v>
      </x:c>
      <x:c r="H101" s="22" t="n">
        <x:f>IFERROR(G101/F101,0)</x:f>
        <x:v>0</x:v>
      </x:c>
      <x:c r="I101" s="12" t="str">
        <x:v>R13, R11</x:v>
      </x:c>
    </x:row>
    <x:row r="102" ht="58" customHeight="1">
      <x:c r="A102" s="12" t="str">
        <x:v>ST-2404</x:v>
      </x:c>
      <x:c r="B102" s="12" t="str">
        <x:v>S24</x:v>
      </x:c>
      <x:c r="C102" s="12" t="str">
        <x:v>Nghiệm thu chương H07 và chống soft-lock</x:v>
      </x:c>
      <x:c r="D102" s="12" t="str">
        <x:v>Một người mới có thể hoàn tất chương và người quay lại vẫn thu được ký ức còn thiếu.</x:v>
      </x:c>
      <x:c r="E102" s="12" t="str">
        <x:v>ST-2401, ST-2402, ST-2403</x:v>
      </x:c>
      <x:c r="F102" s="12" t="n">
        <x:v>5</x:v>
      </x:c>
      <x:c r="G102" s="12" t="n">
        <x:f>COUNTIFS(Tasks!C$5:C$602,A102,Tasks!F$5:F$602,"DONE")</x:f>
        <x:v>0</x:v>
      </x:c>
      <x:c r="H102" s="22" t="n">
        <x:f>IFERROR(G102/F102,0)</x:f>
        <x:v>0</x:v>
      </x:c>
      <x:c r="I102" s="12" t="str">
        <x:v>R14, R18</x:v>
      </x:c>
    </x:row>
    <x:row r="103" ht="58" customHeight="1">
      <x:c r="A103" s="12" t="str">
        <x:v>ST-2501</x:v>
      </x:c>
      <x:c r="B103" s="12" t="str">
        <x:v>S25</x:v>
      </x:c>
      <x:c r="C103" s="12" t="str">
        <x:v>Ending A/B có lựa chọn và cái giá rõ ràng</x:v>
      </x:c>
      <x:c r="D103" s="12" t="str">
        <x:v>Người chơi quyết định Minh ở lại hoặc trả lại thời gian, và được xem hậu quả tương ứng.</x:v>
      </x:c>
      <x:c r="E103" s="12" t="str">
        <x:v>ST-2404, ST-0102</x:v>
      </x:c>
      <x:c r="F103" s="12" t="n">
        <x:v>4</x:v>
      </x:c>
      <x:c r="G103" s="12" t="n">
        <x:f>COUNTIFS(Tasks!C$5:C$602,A103,Tasks!F$5:F$602,"DONE")</x:f>
        <x:v>0</x:v>
      </x:c>
      <x:c r="H103" s="22" t="n">
        <x:f>IFERROR(G103/F103,0)</x:f>
        <x:v>0</x:v>
      </x:c>
      <x:c r="I103" s="12" t="str">
        <x:v>R02, R07</x:v>
      </x:c>
    </x:row>
    <x:row r="104" ht="58" customHeight="1">
      <x:c r="A104" s="12" t="str">
        <x:v>ST-2502</x:v>
      </x:c>
      <x:c r="B104" s="12" t="str">
        <x:v>S25</x:v>
      </x:c>
      <x:c r="C104" s="12" t="str">
        <x:v>Secret Ending C có điều kiện hợp lý</x:v>
      </x:c>
      <x:c r="D104" s="12" t="str">
        <x:v>Người chơi đã phục hồi đủ ký ức có thể xây tuyến sơ tán để cứu làng và giải thoát An.</x:v>
      </x:c>
      <x:c r="E104" s="12" t="str">
        <x:v>ST-2501</x:v>
      </x:c>
      <x:c r="F104" s="12" t="n">
        <x:v>4</x:v>
      </x:c>
      <x:c r="G104" s="12" t="n">
        <x:f>COUNTIFS(Tasks!C$5:C$602,A104,Tasks!F$5:F$602,"DONE")</x:f>
        <x:v>0</x:v>
      </x:c>
      <x:c r="H104" s="22" t="n">
        <x:f>IFERROR(G104/F104,0)</x:f>
        <x:v>0</x:v>
      </x:c>
      <x:c r="I104" s="12" t="str">
        <x:v>R02, R08</x:v>
      </x:c>
    </x:row>
    <x:row r="105" ht="58" customHeight="1">
      <x:c r="A105" s="12" t="str">
        <x:v>ST-2503</x:v>
      </x:c>
      <x:c r="B105" s="12" t="str">
        <x:v>S25</x:v>
      </x:c>
      <x:c r="C105" s="12" t="str">
        <x:v>Mở rộng CH1 và hoàn thiện payoff hình ảnh</x:v>
      </x:c>
      <x:c r="D105" s="12" t="str">
        <x:v>Người chơi thấy mở đầu có đủ hai puzzle và hạt giống của ending bí mật.</x:v>
      </x:c>
      <x:c r="E105" s="12" t="str">
        <x:v>ST-2502, ST-1004</x:v>
      </x:c>
      <x:c r="F105" s="12" t="n">
        <x:v>4</x:v>
      </x:c>
      <x:c r="G105" s="12" t="n">
        <x:f>COUNTIFS(Tasks!C$5:C$602,A105,Tasks!F$5:F$602,"DONE")</x:f>
        <x:v>0</x:v>
      </x:c>
      <x:c r="H105" s="22" t="n">
        <x:f>IFERROR(G105/F105,0)</x:f>
        <x:v>0</x:v>
      </x:c>
      <x:c r="I105" s="12" t="str">
        <x:v>R01, R06, R12</x:v>
      </x:c>
    </x:row>
    <x:row r="106" ht="58" customHeight="1">
      <x:c r="A106" s="12" t="str">
        <x:v>ST-2504</x:v>
      </x:c>
      <x:c r="B106" s="12" t="str">
        <x:v>S25</x:v>
      </x:c>
      <x:c r="C106" s="12" t="str">
        <x:v>Nghiệm thu mọi nhánh ending</x:v>
      </x:c>
      <x:c r="D106" s="12" t="str">
        <x:v>ORCHESTRATOR không nhầm có ba video kết thúc với có ba đường chơi hợp lệ.</x:v>
      </x:c>
      <x:c r="E106" s="12" t="str">
        <x:v>ST-2503</x:v>
      </x:c>
      <x:c r="F106" s="12" t="n">
        <x:v>4</x:v>
      </x:c>
      <x:c r="G106" s="12" t="n">
        <x:f>COUNTIFS(Tasks!C$5:C$602,A106,Tasks!F$5:F$602,"DONE")</x:f>
        <x:v>0</x:v>
      </x:c>
      <x:c r="H106" s="22" t="n">
        <x:f>IFERROR(G106/F106,0)</x:f>
        <x:v>0</x:v>
      </x:c>
      <x:c r="I106" s="12" t="str">
        <x:v>R02, R14</x:v>
      </x:c>
    </x:row>
    <x:row r="107" ht="58" customHeight="1">
      <x:c r="A107" s="12" t="str">
        <x:v>ST-2601</x:v>
      </x:c>
      <x:c r="B107" s="12" t="str">
        <x:v>S26</x:v>
      </x:c>
      <x:c r="C107" s="12" t="str">
        <x:v>Audit nội dung 7 nhà / 28 puzzle / 28 bằng chứng</x:v>
      </x:c>
      <x:c r="D107" s="12" t="str">
        <x:v>ORCHESTRATOR truy ngược mỗi mục scope đến nội dung chạy trong build.</x:v>
      </x:c>
      <x:c r="E107" s="12" t="str">
        <x:v>ST-2504</x:v>
      </x:c>
      <x:c r="F107" s="12" t="n">
        <x:v>4</x:v>
      </x:c>
      <x:c r="G107" s="12" t="n">
        <x:f>COUNTIFS(Tasks!C$5:C$602,A107,Tasks!F$5:F$602,"DONE")</x:f>
        <x:v>0</x:v>
      </x:c>
      <x:c r="H107" s="22" t="n">
        <x:f>IFERROR(G107/F107,0)</x:f>
        <x:v>0</x:v>
      </x:c>
      <x:c r="I107" s="12" t="str">
        <x:v>R01, R02, R06</x:v>
      </x:c>
    </x:row>
    <x:row r="108" ht="58" customHeight="1">
      <x:c r="A108" s="12" t="str">
        <x:v>ST-2602</x:v>
      </x:c>
      <x:c r="B108" s="12" t="str">
        <x:v>S26</x:v>
      </x:c>
      <x:c r="C108" s="12" t="str">
        <x:v>Walkthrough end-to-end và kiểm tra timeline</x:v>
      </x:c>
      <x:c r="D108" s="12" t="str">
        <x:v>Người chơi nhận toàn bộ lời giải nhất quán và không bị mất progress giữa chương.</x:v>
      </x:c>
      <x:c r="E108" s="12" t="str">
        <x:v>ST-2601</x:v>
      </x:c>
      <x:c r="F108" s="12" t="n">
        <x:v>4</x:v>
      </x:c>
      <x:c r="G108" s="12" t="n">
        <x:f>COUNTIFS(Tasks!C$5:C$602,A108,Tasks!F$5:F$602,"DONE")</x:f>
        <x:v>0</x:v>
      </x:c>
      <x:c r="H108" s="22" t="n">
        <x:f>IFERROR(G108/F108,0)</x:f>
        <x:v>0</x:v>
      </x:c>
      <x:c r="I108" s="12" t="str">
        <x:v>R01, R02, R08</x:v>
      </x:c>
    </x:row>
    <x:row r="109" ht="58" customHeight="1">
      <x:c r="A109" s="12" t="str">
        <x:v>ST-2603</x:v>
      </x:c>
      <x:c r="B109" s="12" t="str">
        <x:v>S26</x:v>
      </x:c>
      <x:c r="C109" s="12" t="str">
        <x:v>Khóa art/audio inventory và license chain</x:v>
      </x:c>
      <x:c r="D109" s="12" t="str">
        <x:v>Bản thương mại chỉ dùng tài sản được phép phát hành và có source truy vết.</x:v>
      </x:c>
      <x:c r="E109" s="12" t="str">
        <x:v>ST-2601</x:v>
      </x:c>
      <x:c r="F109" s="12" t="n">
        <x:v>4</x:v>
      </x:c>
      <x:c r="G109" s="12" t="n">
        <x:f>COUNTIFS(Tasks!C$5:C$602,A109,Tasks!F$5:F$602,"DONE")</x:f>
        <x:v>0</x:v>
      </x:c>
      <x:c r="H109" s="22" t="n">
        <x:f>IFERROR(G109/F109,0)</x:f>
        <x:v>0</x:v>
      </x:c>
      <x:c r="I109" s="12" t="str">
        <x:v>R12, R13, R17</x:v>
      </x:c>
    </x:row>
    <x:row r="110" ht="58" customHeight="1">
      <x:c r="A110" s="12" t="str">
        <x:v>ST-2604</x:v>
      </x:c>
      <x:c r="B110" s="12" t="str">
        <x:v>S26</x:v>
      </x:c>
      <x:c r="C110" s="12" t="str">
        <x:v>Duyệt G4 và kiểm tra forecast phát hành</x:v>
      </x:c>
      <x:c r="D110" s="12" t="str">
        <x:v>ORCHESTRATOR chuyển từ làm nội dung sang sửa chất lượng trên một sản phẩm đầy đủ.</x:v>
      </x:c>
      <x:c r="E110" s="12" t="str">
        <x:v>ST-2602, ST-2603</x:v>
      </x:c>
      <x:c r="F110" s="12" t="n">
        <x:v>4</x:v>
      </x:c>
      <x:c r="G110" s="12" t="n">
        <x:f>COUNTIFS(Tasks!C$5:C$602,A110,Tasks!F$5:F$602,"DONE")</x:f>
        <x:v>0</x:v>
      </x:c>
      <x:c r="H110" s="22" t="n">
        <x:f>IFERROR(G110/F110,0)</x:f>
        <x:v>0</x:v>
      </x:c>
      <x:c r="I110" s="12" t="str">
        <x:v>R14, R18</x:v>
      </x:c>
    </x:row>
    <x:row r="111" ht="58" customHeight="1">
      <x:c r="A111" s="12" t="str">
        <x:v>ST-2701</x:v>
      </x:c>
      <x:c r="B111" s="12" t="str">
        <x:v>S27</x:v>
      </x:c>
      <x:c r="C111" s="12" t="str">
        <x:v>Chống soft-lock toàn chiến dịch</x:v>
      </x:c>
      <x:c r="D111" s="12" t="str">
        <x:v>Người chơi không mất lượt chơi do collision hoặc state chuyển thế giới sai.</x:v>
      </x:c>
      <x:c r="E111" s="12" t="str">
        <x:v>ST-2604</x:v>
      </x:c>
      <x:c r="F111" s="12" t="n">
        <x:v>4</x:v>
      </x:c>
      <x:c r="G111" s="12" t="n">
        <x:f>COUNTIFS(Tasks!C$5:C$602,A111,Tasks!F$5:F$602,"DONE")</x:f>
        <x:v>0</x:v>
      </x:c>
      <x:c r="H111" s="22" t="n">
        <x:f>IFERROR(G111/F111,0)</x:f>
        <x:v>0</x:v>
      </x:c>
      <x:c r="I111" s="12" t="str">
        <x:v>R04, R09</x:v>
      </x:c>
    </x:row>
    <x:row r="112" ht="58" customHeight="1">
      <x:c r="A112" s="12" t="str">
        <x:v>ST-2702</x:v>
      </x:c>
      <x:c r="B112" s="12" t="str">
        <x:v>S27</x:v>
      </x:c>
      <x:c r="C112" s="12" t="str">
        <x:v>Save, backup và load có khả năng phục hồi</x:v>
      </x:c>
      <x:c r="D112" s="12" t="str">
        <x:v>Người chơi có thể đóng ứng dụng ở checkpoint và phục hồi khi file bị hỏng.</x:v>
      </x:c>
      <x:c r="E112" s="12" t="str">
        <x:v>ST-2701</x:v>
      </x:c>
      <x:c r="F112" s="12" t="n">
        <x:v>4</x:v>
      </x:c>
      <x:c r="G112" s="12" t="n">
        <x:f>COUNTIFS(Tasks!C$5:C$602,A112,Tasks!F$5:F$602,"DONE")</x:f>
        <x:v>0</x:v>
      </x:c>
      <x:c r="H112" s="22" t="n">
        <x:f>IFERROR(G112/F112,0)</x:f>
        <x:v>0</x:v>
      </x:c>
      <x:c r="I112" s="12" t="str">
        <x:v>R08</x:v>
      </x:c>
    </x:row>
    <x:row r="113" ht="58" customHeight="1">
      <x:c r="A113" s="12" t="str">
        <x:v>ST-2703</x:v>
      </x:c>
      <x:c r="B113" s="12" t="str">
        <x:v>S27</x:v>
      </x:c>
      <x:c r="C113" s="12" t="str">
        <x:v>Alpha usability/technical QA độc lập</x:v>
      </x:c>
      <x:c r="D113" s="12" t="str">
        <x:v>Tester ngoài người viết code có thể tái hiện và xác minh lỗi.</x:v>
      </x:c>
      <x:c r="E113" s="12" t="str">
        <x:v>ST-2702</x:v>
      </x:c>
      <x:c r="F113" s="12" t="n">
        <x:v>4</x:v>
      </x:c>
      <x:c r="G113" s="12" t="n">
        <x:f>COUNTIFS(Tasks!C$5:C$602,A113,Tasks!F$5:F$602,"DONE")</x:f>
        <x:v>0</x:v>
      </x:c>
      <x:c r="H113" s="22" t="n">
        <x:f>IFERROR(G113/F113,0)</x:f>
        <x:v>0</x:v>
      </x:c>
      <x:c r="I113" s="12" t="str">
        <x:v>R14</x:v>
      </x:c>
    </x:row>
    <x:row r="114" ht="58" customHeight="1">
      <x:c r="A114" s="12" t="str">
        <x:v>ST-2704</x:v>
      </x:c>
      <x:c r="B114" s="12" t="str">
        <x:v>S27</x:v>
      </x:c>
      <x:c r="C114" s="12" t="str">
        <x:v>Polish hình ảnh lỗi rõ và build Alpha 1</x:v>
      </x:c>
      <x:c r="D114" s="12" t="str">
        <x:v>Bản đầy đủ không còn lỗi art cản đọc game hoặc tiết lộ rìa scene.</x:v>
      </x:c>
      <x:c r="E114" s="12" t="str">
        <x:v>ST-2603</x:v>
      </x:c>
      <x:c r="F114" s="12" t="n">
        <x:v>4</x:v>
      </x:c>
      <x:c r="G114" s="12" t="n">
        <x:f>COUNTIFS(Tasks!C$5:C$602,A114,Tasks!F$5:F$602,"DONE")</x:f>
        <x:v>0</x:v>
      </x:c>
      <x:c r="H114" s="22" t="n">
        <x:f>IFERROR(G114/F114,0)</x:f>
        <x:v>0</x:v>
      </x:c>
      <x:c r="I114" s="12" t="str">
        <x:v>R12, R14</x:v>
      </x:c>
    </x:row>
    <x:row r="115" ht="58" customHeight="1">
      <x:c r="A115" s="12" t="str">
        <x:v>ST-2801</x:v>
      </x:c>
      <x:c r="B115" s="12" t="str">
        <x:v>S28</x:v>
      </x:c>
      <x:c r="C115" s="12" t="str">
        <x:v>Tuning 28 puzzle và đường khám phá</x:v>
      </x:c>
      <x:c r="D115" s="12" t="str">
        <x:v>Người chơi hiểu phản hồi và có hint hữu ích khi mắc kẹt.</x:v>
      </x:c>
      <x:c r="E115" s="12" t="str">
        <x:v>ST-2704</x:v>
      </x:c>
      <x:c r="F115" s="12" t="n">
        <x:v>4</x:v>
      </x:c>
      <x:c r="G115" s="12" t="n">
        <x:f>COUNTIFS(Tasks!C$5:C$602,A115,Tasks!F$5:F$602,"DONE")</x:f>
        <x:v>0</x:v>
      </x:c>
      <x:c r="H115" s="22" t="n">
        <x:f>IFERROR(G115/F115,0)</x:f>
        <x:v>0</x:v>
      </x:c>
      <x:c r="I115" s="12" t="str">
        <x:v>R06</x:v>
      </x:c>
    </x:row>
    <x:row r="116" ht="58" customHeight="1">
      <x:c r="A116" s="12" t="str">
        <x:v>ST-2802</x:v>
      </x:c>
      <x:c r="B116" s="12" t="str">
        <x:v>S28</x:v>
      </x:c>
      <x:c r="C116" s="12" t="str">
        <x:v>Tuning stealth và cinematic pacing</x:v>
      </x:c>
      <x:c r="D116" s="12" t="str">
        <x:v>Căng thẳng có điểm nghỉ, người chơi không bị retry kéo dài phá cảm xúc.</x:v>
      </x:c>
      <x:c r="E116" s="12" t="str">
        <x:v>ST-2801</x:v>
      </x:c>
      <x:c r="F116" s="12" t="n">
        <x:v>4</x:v>
      </x:c>
      <x:c r="G116" s="12" t="n">
        <x:f>COUNTIFS(Tasks!C$5:C$602,A116,Tasks!F$5:F$602,"DONE")</x:f>
        <x:v>0</x:v>
      </x:c>
      <x:c r="H116" s="22" t="n">
        <x:f>IFERROR(G116/F116,0)</x:f>
        <x:v>0</x:v>
      </x:c>
      <x:c r="I116" s="12" t="str">
        <x:v>R07, R09</x:v>
      </x:c>
    </x:row>
    <x:row r="117" ht="58" customHeight="1">
      <x:c r="A117" s="12" t="str">
        <x:v>ST-2803</x:v>
      </x:c>
      <x:c r="B117" s="12" t="str">
        <x:v>S28</x:v>
      </x:c>
      <x:c r="C117" s="12" t="str">
        <x:v>Cohort Alpha cuối trước dịch full</x:v>
      </x:c>
      <x:c r="D117" s="12" t="str">
        <x:v>ORCHESTRATOR kiểm chứng toàn bộ game trước khi khóa source text cho bản tiếng Anh.</x:v>
      </x:c>
      <x:c r="E117" s="12" t="str">
        <x:v>ST-2802</x:v>
      </x:c>
      <x:c r="F117" s="12" t="n">
        <x:v>4</x:v>
      </x:c>
      <x:c r="G117" s="12" t="n">
        <x:f>COUNTIFS(Tasks!C$5:C$602,A117,Tasks!F$5:F$602,"DONE")</x:f>
        <x:v>0</x:v>
      </x:c>
      <x:c r="H117" s="22" t="n">
        <x:f>IFERROR(G117/F117,0)</x:f>
        <x:v>0</x:v>
      </x:c>
      <x:c r="I117" s="12" t="str">
        <x:v>R01, R16</x:v>
      </x:c>
    </x:row>
    <x:row r="118" ht="58" customHeight="1">
      <x:c r="A118" s="12" t="str">
        <x:v>ST-2804</x:v>
      </x:c>
      <x:c r="B118" s="12" t="str">
        <x:v>S28</x:v>
      </x:c>
      <x:c r="C118" s="12" t="str">
        <x:v>Khóa Alpha và polish âm thanh trọng điểm</x:v>
      </x:c>
      <x:c r="D118" s="12" t="str">
        <x:v>Bản Alpha đủ nội dung và không còn lỗi nghiêm trọng trước beta localization.</x:v>
      </x:c>
      <x:c r="E118" s="12" t="str">
        <x:v>ST-2803</x:v>
      </x:c>
      <x:c r="F118" s="12" t="n">
        <x:v>4</x:v>
      </x:c>
      <x:c r="G118" s="12" t="n">
        <x:f>COUNTIFS(Tasks!C$5:C$602,A118,Tasks!F$5:F$602,"DONE")</x:f>
        <x:v>0</x:v>
      </x:c>
      <x:c r="H118" s="22" t="n">
        <x:f>IFERROR(G118/F118,0)</x:f>
        <x:v>0</x:v>
      </x:c>
      <x:c r="I118" s="12" t="str">
        <x:v>R13, R14, R16</x:v>
      </x:c>
    </x:row>
    <x:row r="119" ht="58" customHeight="1">
      <x:c r="A119" s="12" t="str">
        <x:v>ST-2901</x:v>
      </x:c>
      <x:c r="B119" s="12" t="str">
        <x:v>S29</x:v>
      </x:c>
      <x:c r="C119" s="12" t="str">
        <x:v>Dịch nửa đầu game và thuật ngữ dùng chung</x:v>
      </x:c>
      <x:c r="D119" s="12" t="str">
        <x:v>Người chơi tiếng Anh hiểu bí ẩn và puzzle, không gặp câu dịch làm sai manh mối.</x:v>
      </x:c>
      <x:c r="E119" s="12" t="str">
        <x:v>ST-2804</x:v>
      </x:c>
      <x:c r="F119" s="12" t="n">
        <x:v>4</x:v>
      </x:c>
      <x:c r="G119" s="12" t="n">
        <x:f>COUNTIFS(Tasks!C$5:C$602,A119,Tasks!F$5:F$602,"DONE")</x:f>
        <x:v>0</x:v>
      </x:c>
      <x:c r="H119" s="22" t="n">
        <x:f>IFERROR(G119/F119,0)</x:f>
        <x:v>0</x:v>
      </x:c>
      <x:c r="I119" s="12" t="str">
        <x:v>R16</x:v>
      </x:c>
    </x:row>
    <x:row r="120" ht="58" customHeight="1">
      <x:c r="A120" s="12" t="str">
        <x:v>ST-2902</x:v>
      </x:c>
      <x:c r="B120" s="12" t="str">
        <x:v>S29</x:v>
      </x:c>
      <x:c r="C120" s="12" t="str">
        <x:v>Pipeline localization và pseudo-localization</x:v>
      </x:c>
      <x:c r="D120" s="12" t="str">
        <x:v>UI có thể đổi ngôn ngữ giữa phiên mà không lộ key hoặc thiếu glyph.</x:v>
      </x:c>
      <x:c r="E120" s="12" t="str">
        <x:v>ST-2804</x:v>
      </x:c>
      <x:c r="F120" s="12" t="n">
        <x:v>4</x:v>
      </x:c>
      <x:c r="G120" s="12" t="n">
        <x:f>COUNTIFS(Tasks!C$5:C$602,A120,Tasks!F$5:F$602,"DONE")</x:f>
        <x:v>0</x:v>
      </x:c>
      <x:c r="H120" s="22" t="n">
        <x:f>IFERROR(G120/F120,0)</x:f>
        <x:v>0</x:v>
      </x:c>
      <x:c r="I120" s="12" t="str">
        <x:v>R11, R16</x:v>
      </x:c>
    </x:row>
    <x:row r="121" ht="58" customHeight="1">
      <x:c r="A121" s="12" t="str">
        <x:v>ST-2903</x:v>
      </x:c>
      <x:c r="B121" s="12" t="str">
        <x:v>S29</x:v>
      </x:c>
      <x:c r="C121" s="12" t="str">
        <x:v>LQA đợt một và hình chữ trong môi trường</x:v>
      </x:c>
      <x:c r="D121" s="12" t="str">
        <x:v>Manh mối có chữ được hiểu ở cả tiếng Việt và tiếng Anh.</x:v>
      </x:c>
      <x:c r="E121" s="12" t="str">
        <x:v>ST-2901, ST-2902</x:v>
      </x:c>
      <x:c r="F121" s="12" t="n">
        <x:v>4</x:v>
      </x:c>
      <x:c r="G121" s="12" t="n">
        <x:f>COUNTIFS(Tasks!C$5:C$602,A121,Tasks!F$5:F$602,"DONE")</x:f>
        <x:v>0</x:v>
      </x:c>
      <x:c r="H121" s="22" t="n">
        <x:f>IFERROR(G121/F121,0)</x:f>
        <x:v>0</x:v>
      </x:c>
      <x:c r="I121" s="12" t="str">
        <x:v>R16</x:v>
      </x:c>
    </x:row>
    <x:row r="122" ht="58" customHeight="1">
      <x:c r="A122" s="12" t="str">
        <x:v>ST-2904</x:v>
      </x:c>
      <x:c r="B122" s="12" t="str">
        <x:v>S29</x:v>
      </x:c>
      <x:c r="C122" s="12" t="str">
        <x:v>Beta build và rà khả năng cài đặt</x:v>
      </x:c>
      <x:c r="D122" s="12" t="str">
        <x:v>Build song ngữ có thể cài/chạy trên tài khoản Windows sạch.</x:v>
      </x:c>
      <x:c r="E122" s="12" t="str">
        <x:v>ST-2903</x:v>
      </x:c>
      <x:c r="F122" s="12" t="n">
        <x:v>4</x:v>
      </x:c>
      <x:c r="G122" s="12" t="n">
        <x:f>COUNTIFS(Tasks!C$5:C$602,A122,Tasks!F$5:F$602,"DONE")</x:f>
        <x:v>0</x:v>
      </x:c>
      <x:c r="H122" s="22" t="n">
        <x:f>IFERROR(G122/F122,0)</x:f>
        <x:v>0</x:v>
      </x:c>
      <x:c r="I122" s="12" t="str">
        <x:v>R17, R16</x:v>
      </x:c>
    </x:row>
    <x:row r="123" ht="58" customHeight="1">
      <x:c r="A123" s="12" t="str">
        <x:v>ST-3001</x:v>
      </x:c>
      <x:c r="B123" s="12" t="str">
        <x:v>S30</x:v>
      </x:c>
      <x:c r="C123" s="12" t="str">
        <x:v>Dịch và review nửa sau cùng ba ending</x:v>
      </x:c>
      <x:c r="D123" s="12" t="str">
        <x:v>Người chơi tiếng Anh nhận đủ chiều sâu cảm xúc và hệ quả lựa chọn cuối.</x:v>
      </x:c>
      <x:c r="E123" s="12" t="str">
        <x:v>ST-2901</x:v>
      </x:c>
      <x:c r="F123" s="12" t="n">
        <x:v>4</x:v>
      </x:c>
      <x:c r="G123" s="12" t="n">
        <x:f>COUNTIFS(Tasks!C$5:C$602,A123,Tasks!F$5:F$602,"DONE")</x:f>
        <x:v>0</x:v>
      </x:c>
      <x:c r="H123" s="22" t="n">
        <x:f>IFERROR(G123/F123,0)</x:f>
        <x:v>0</x:v>
      </x:c>
      <x:c r="I123" s="12" t="str">
        <x:v>R16</x:v>
      </x:c>
    </x:row>
    <x:row r="124" ht="58" customHeight="1">
      <x:c r="A124" s="12" t="str">
        <x:v>ST-3002</x:v>
      </x:c>
      <x:c r="B124" s="12" t="str">
        <x:v>S30</x:v>
      </x:c>
      <x:c r="C124" s="12" t="str">
        <x:v>LQA tất cả chapter và branch</x:v>
      </x:c>
      <x:c r="D124" s="12" t="str">
        <x:v>Bản tiếng Anh không có lỗi chặn puzzle hoặc lựa chọn ending sai nghĩa.</x:v>
      </x:c>
      <x:c r="E124" s="12" t="str">
        <x:v>ST-3001, ST-2904</x:v>
      </x:c>
      <x:c r="F124" s="12" t="n">
        <x:v>4</x:v>
      </x:c>
      <x:c r="G124" s="12" t="n">
        <x:f>COUNTIFS(Tasks!C$5:C$602,A124,Tasks!F$5:F$602,"DONE")</x:f>
        <x:v>0</x:v>
      </x:c>
      <x:c r="H124" s="22" t="n">
        <x:f>IFERROR(G124/F124,0)</x:f>
        <x:v>0</x:v>
      </x:c>
      <x:c r="I124" s="12" t="str">
        <x:v>R16, R11</x:v>
      </x:c>
    </x:row>
    <x:row r="125" ht="58" customHeight="1">
      <x:c r="A125" s="12" t="str">
        <x:v>ST-3003</x:v>
      </x:c>
      <x:c r="B125" s="12" t="str">
        <x:v>S30</x:v>
      </x:c>
      <x:c r="C125" s="12" t="str">
        <x:v>Controller, remap và focus regression</x:v>
      </x:c>
      <x:c r="D125" s="12" t="str">
        <x:v>Người chơi có thể hoàn thành cả game bằng thiết bị điều khiển đã hỗ trợ.</x:v>
      </x:c>
      <x:c r="E125" s="12" t="str">
        <x:v>ST-2904</x:v>
      </x:c>
      <x:c r="F125" s="12" t="n">
        <x:v>4</x:v>
      </x:c>
      <x:c r="G125" s="12" t="n">
        <x:f>COUNTIFS(Tasks!C$5:C$602,A125,Tasks!F$5:F$602,"DONE")</x:f>
        <x:v>0</x:v>
      </x:c>
      <x:c r="H125" s="22" t="n">
        <x:f>IFERROR(G125/F125,0)</x:f>
        <x:v>0</x:v>
      </x:c>
      <x:c r="I125" s="12" t="str">
        <x:v>R10, R11</x:v>
      </x:c>
    </x:row>
    <x:row r="126" ht="58" customHeight="1">
      <x:c r="A126" s="12" t="str">
        <x:v>ST-3004</x:v>
      </x:c>
      <x:c r="B126" s="12" t="str">
        <x:v>S30</x:v>
      </x:c>
      <x:c r="C126" s="12" t="str">
        <x:v>Ký Beta exit và freeze feature/content/text</x:v>
      </x:c>
      <x:c r="D126" s="12" t="str">
        <x:v>Team chỉ còn sửa lỗi/tối ưu và chuẩn bị release candidate.</x:v>
      </x:c>
      <x:c r="E126" s="12" t="str">
        <x:v>ST-3002, ST-3003</x:v>
      </x:c>
      <x:c r="F126" s="12" t="n">
        <x:v>4</x:v>
      </x:c>
      <x:c r="G126" s="12" t="n">
        <x:f>COUNTIFS(Tasks!C$5:C$602,A126,Tasks!F$5:F$602,"DONE")</x:f>
        <x:v>0</x:v>
      </x:c>
      <x:c r="H126" s="22" t="n">
        <x:f>IFERROR(G126/F126,0)</x:f>
        <x:v>0</x:v>
      </x:c>
      <x:c r="I126" s="12" t="str">
        <x:v>R14, R18</x:v>
      </x:c>
    </x:row>
    <x:row r="127" ht="58" customHeight="1">
      <x:c r="A127" s="12" t="str">
        <x:v>ST-3101</x:v>
      </x:c>
      <x:c r="B127" s="12" t="str">
        <x:v>S31</x:v>
      </x:c>
      <x:c r="C127" s="12" t="str">
        <x:v>Profile cảnh nặng và sửa bottleneck</x:v>
      </x:c>
      <x:c r="D127" s="12" t="str">
        <x:v>Người chơi đạt trải nghiệm ổn định ở máy và preset đã công bố.</x:v>
      </x:c>
      <x:c r="E127" s="12" t="str">
        <x:v>ST-3004</x:v>
      </x:c>
      <x:c r="F127" s="12" t="n">
        <x:v>4</x:v>
      </x:c>
      <x:c r="G127" s="12" t="n">
        <x:f>COUNTIFS(Tasks!C$5:C$602,A127,Tasks!F$5:F$602,"DONE")</x:f>
        <x:v>0</x:v>
      </x:c>
      <x:c r="H127" s="22" t="n">
        <x:f>IFERROR(G127/F127,0)</x:f>
        <x:v>0</x:v>
      </x:c>
      <x:c r="I127" s="12" t="str">
        <x:v>R14</x:v>
      </x:c>
    </x:row>
    <x:row r="128" ht="58" customHeight="1">
      <x:c r="A128" s="12" t="str">
        <x:v>ST-3102</x:v>
      </x:c>
      <x:c r="B128" s="12" t="str">
        <x:v>S31</x:v>
      </x:c>
      <x:c r="C128" s="12" t="str">
        <x:v>Quality presets và load-time budgets</x:v>
      </x:c>
      <x:c r="D128" s="12" t="str">
        <x:v>Người chơi máy yếu hơn có thể hạ chất lượng mà không mất manh mối.</x:v>
      </x:c>
      <x:c r="E128" s="12" t="str">
        <x:v>ST-3101</x:v>
      </x:c>
      <x:c r="F128" s="12" t="n">
        <x:v>4</x:v>
      </x:c>
      <x:c r="G128" s="12" t="n">
        <x:f>COUNTIFS(Tasks!C$5:C$602,A128,Tasks!F$5:F$602,"DONE")</x:f>
        <x:v>0</x:v>
      </x:c>
      <x:c r="H128" s="22" t="n">
        <x:f>IFERROR(G128/F128,0)</x:f>
        <x:v>0</x:v>
      </x:c>
      <x:c r="I128" s="12" t="str">
        <x:v>R14</x:v>
      </x:c>
    </x:row>
    <x:row r="129" ht="58" customHeight="1">
      <x:c r="A129" s="12" t="str">
        <x:v>ST-3103</x:v>
      </x:c>
      <x:c r="B129" s="12" t="str">
        <x:v>S31</x:v>
      </x:c>
      <x:c r="C129" s="12" t="str">
        <x:v>Tối ưu asset có kiểm soát chất lượng</x:v>
      </x:c>
      <x:c r="D129" s="12" t="str">
        <x:v>Visual tối ưu giữ bầu không khí và khả năng đọc gameplay.</x:v>
      </x:c>
      <x:c r="E129" s="12" t="str">
        <x:v>ST-3101</x:v>
      </x:c>
      <x:c r="F129" s="12" t="n">
        <x:v>4</x:v>
      </x:c>
      <x:c r="G129" s="12" t="n">
        <x:f>COUNTIFS(Tasks!C$5:C$602,A129,Tasks!F$5:F$602,"DONE")</x:f>
        <x:v>0</x:v>
      </x:c>
      <x:c r="H129" s="22" t="n">
        <x:f>IFERROR(G129/F129,0)</x:f>
        <x:v>0</x:v>
      </x:c>
      <x:c r="I129" s="12" t="str">
        <x:v>R12, R14</x:v>
      </x:c>
    </x:row>
    <x:row r="130" ht="58" customHeight="1">
      <x:c r="A130" s="12" t="str">
        <x:v>ST-3104</x:v>
      </x:c>
      <x:c r="B130" s="12" t="str">
        <x:v>S31</x:v>
      </x:c>
      <x:c r="C130" s="12" t="str">
        <x:v>Soak/stress hardening cuối</x:v>
      </x:c>
      <x:c r="D130" s="12" t="str">
        <x:v>Bản phát hành ổn định trong phiên chơi dài và thao tác lặp.</x:v>
      </x:c>
      <x:c r="E130" s="12" t="str">
        <x:v>ST-3102, ST-3103</x:v>
      </x:c>
      <x:c r="F130" s="12" t="n">
        <x:v>4</x:v>
      </x:c>
      <x:c r="G130" s="12" t="n">
        <x:f>COUNTIFS(Tasks!C$5:C$602,A130,Tasks!F$5:F$602,"DONE")</x:f>
        <x:v>0</x:v>
      </x:c>
      <x:c r="H130" s="22" t="n">
        <x:f>IFERROR(G130/F130,0)</x:f>
        <x:v>0</x:v>
      </x:c>
      <x:c r="I130" s="12" t="str">
        <x:v>R14</x:v>
      </x:c>
    </x:row>
    <x:row r="131" ht="58" customHeight="1">
      <x:c r="A131" s="12" t="str">
        <x:v>ST-3201</x:v>
      </x:c>
      <x:c r="B131" s="12" t="str">
        <x:v>S32</x:v>
      </x:c>
      <x:c r="C131" s="12" t="str">
        <x:v>Store page và trailer khớp sản phẩm</x:v>
      </x:c>
      <x:c r="D131" s="12" t="str">
        <x:v>Khách hàng hiểu đúng nội dung mua, ngôn ngữ và cấu hình hỗ trợ.</x:v>
      </x:c>
      <x:c r="E131" s="12" t="str">
        <x:v>ST-3104, ST-1405, ST-2005</x:v>
      </x:c>
      <x:c r="F131" s="12" t="n">
        <x:v>4</x:v>
      </x:c>
      <x:c r="G131" s="12" t="n">
        <x:f>COUNTIFS(Tasks!C$5:C$602,A131,Tasks!F$5:F$602,"DONE")</x:f>
        <x:v>0</x:v>
      </x:c>
      <x:c r="H131" s="22" t="n">
        <x:f>IFERROR(G131/F131,0)</x:f>
        <x:v>0</x:v>
      </x:c>
      <x:c r="I131" s="12" t="str">
        <x:v>R15</x:v>
      </x:c>
    </x:row>
    <x:row r="132" ht="58" customHeight="1">
      <x:c r="A132" s="12" t="str">
        <x:v>ST-3202</x:v>
      </x:c>
      <x:c r="B132" s="12" t="str">
        <x:v>S32</x:v>
      </x:c>
      <x:c r="C132" s="12" t="str">
        <x:v>Kiểm tra quyền sử dụng và nội dung khai báo</x:v>
      </x:c>
      <x:c r="D132" s="12" t="str">
        <x:v>Bản game không phát hành asset thiếu quyền hoặc thông tin bắt buộc bị bỏ sót.</x:v>
      </x:c>
      <x:c r="E132" s="12" t="str">
        <x:v>ST-2603, ST-3201</x:v>
      </x:c>
      <x:c r="F132" s="12" t="n">
        <x:v>4</x:v>
      </x:c>
      <x:c r="G132" s="12" t="n">
        <x:f>COUNTIFS(Tasks!C$5:C$602,A132,Tasks!F$5:F$602,"DONE")</x:f>
        <x:v>0</x:v>
      </x:c>
      <x:c r="H132" s="22" t="n">
        <x:f>IFERROR(G132/F132,0)</x:f>
        <x:v>0</x:v>
      </x:c>
      <x:c r="I132" s="12" t="str">
        <x:v>R15, R17</x:v>
      </x:c>
    </x:row>
    <x:row r="133" ht="58" customHeight="1">
      <x:c r="A133" s="12" t="str">
        <x:v>ST-3203</x:v>
      </x:c>
      <x:c r="B133" s="12" t="str">
        <x:v>S32</x:v>
      </x:c>
      <x:c r="C133" s="12" t="str">
        <x:v>Steam build configuration và lựa chọn integration tối thiểu</x:v>
      </x:c>
      <x:c r="D133" s="12" t="str">
        <x:v>Người mua có thể cài/chạy game từ kênh phát hành đã chọn.</x:v>
      </x:c>
      <x:c r="E133" s="12" t="str">
        <x:v>ST-3202, ST-1104</x:v>
      </x:c>
      <x:c r="F133" s="12" t="n">
        <x:v>4</x:v>
      </x:c>
      <x:c r="G133" s="12" t="n">
        <x:f>COUNTIFS(Tasks!C$5:C$602,A133,Tasks!F$5:F$602,"DONE")</x:f>
        <x:v>0</x:v>
      </x:c>
      <x:c r="H133" s="22" t="n">
        <x:f>IFERROR(G133/F133,0)</x:f>
        <x:v>0</x:v>
      </x:c>
      <x:c r="I133" s="12" t="str">
        <x:v>R15, R17</x:v>
      </x:c>
    </x:row>
    <x:row r="134" ht="58" customHeight="1">
      <x:c r="A134" s="12" t="str">
        <x:v>ST-3204</x:v>
      </x:c>
      <x:c r="B134" s="12" t="str">
        <x:v>S32</x:v>
      </x:c>
      <x:c r="C134" s="12" t="str">
        <x:v>Kiểm thử distribution candidate</x:v>
      </x:c>
      <x:c r="D134" s="12" t="str">
        <x:v>Build do nền tảng phân phối giống build đã QA chứ không thiếu file hoặc setting.</x:v>
      </x:c>
      <x:c r="E134" s="12" t="str">
        <x:v>ST-3203</x:v>
      </x:c>
      <x:c r="F134" s="12" t="n">
        <x:v>4</x:v>
      </x:c>
      <x:c r="G134" s="12" t="n">
        <x:f>COUNTIFS(Tasks!C$5:C$602,A134,Tasks!F$5:F$602,"DONE")</x:f>
        <x:v>0</x:v>
      </x:c>
      <x:c r="H134" s="22" t="n">
        <x:f>IFERROR(G134/F134,0)</x:f>
        <x:v>0</x:v>
      </x:c>
      <x:c r="I134" s="12" t="str">
        <x:v>R15, R17</x:v>
      </x:c>
    </x:row>
    <x:row r="135" ht="58" customHeight="1">
      <x:c r="A135" s="12" t="str">
        <x:v>ST-3301</x:v>
      </x:c>
      <x:c r="B135" s="12" t="str">
        <x:v>S33</x:v>
      </x:c>
      <x:c r="C135" s="12" t="str">
        <x:v>Đóng RC1 có khả năng tái tạo</x:v>
      </x:c>
      <x:c r="D135" s="12" t="str">
        <x:v>Owner biết source nào sinh build đang được thử và phát hành.</x:v>
      </x:c>
      <x:c r="E135" s="12" t="str">
        <x:v>ST-3204</x:v>
      </x:c>
      <x:c r="F135" s="12" t="n">
        <x:v>4</x:v>
      </x:c>
      <x:c r="G135" s="12" t="n">
        <x:f>COUNTIFS(Tasks!C$5:C$602,A135,Tasks!F$5:F$602,"DONE")</x:f>
        <x:v>0</x:v>
      </x:c>
      <x:c r="H135" s="22" t="n">
        <x:f>IFERROR(G135/F135,0)</x:f>
        <x:v>0</x:v>
      </x:c>
      <x:c r="I135" s="12" t="str">
        <x:v>R17</x:v>
      </x:c>
    </x:row>
    <x:row r="136" ht="58" customHeight="1">
      <x:c r="A136" s="12" t="str">
        <x:v>ST-3302</x:v>
      </x:c>
      <x:c r="B136" s="12" t="str">
        <x:v>S33</x:v>
      </x:c>
      <x:c r="C136" s="12" t="str">
        <x:v>Hỗ trợ người chơi và bug triage ready</x:v>
      </x:c>
      <x:c r="D136" s="12" t="str">
        <x:v>Người chơi biết gửi lỗi với thông tin đủ để sửa mà không lộ dữ liệu riêng tư.</x:v>
      </x:c>
      <x:c r="E136" s="12" t="str">
        <x:v>ST-3301</x:v>
      </x:c>
      <x:c r="F136" s="12" t="n">
        <x:v>4</x:v>
      </x:c>
      <x:c r="G136" s="12" t="n">
        <x:f>COUNTIFS(Tasks!C$5:C$602,A136,Tasks!F$5:F$602,"DONE")</x:f>
        <x:v>0</x:v>
      </x:c>
      <x:c r="H136" s="22" t="n">
        <x:f>IFERROR(G136/F136,0)</x:f>
        <x:v>0</x:v>
      </x:c>
      <x:c r="I136" s="12" t="str">
        <x:v>R15, R17</x:v>
      </x:c>
    </x:row>
    <x:row r="137" ht="58" customHeight="1">
      <x:c r="A137" s="12" t="str">
        <x:v>ST-3303</x:v>
      </x:c>
      <x:c r="B137" s="12" t="str">
        <x:v>S33</x:v>
      </x:c>
      <x:c r="C137" s="12" t="str">
        <x:v>Diễn tập rollback và patch giữ save</x:v>
      </x:c>
      <x:c r="D137" s="12" t="str">
        <x:v>Owner có thể quay về bản an toàn nếu bản mới gây lỗi nghiêm trọng.</x:v>
      </x:c>
      <x:c r="E137" s="12" t="str">
        <x:v>ST-3302</x:v>
      </x:c>
      <x:c r="F137" s="12" t="n">
        <x:v>4</x:v>
      </x:c>
      <x:c r="G137" s="12" t="n">
        <x:f>COUNTIFS(Tasks!C$5:C$602,A137,Tasks!F$5:F$602,"DONE")</x:f>
        <x:v>0</x:v>
      </x:c>
      <x:c r="H137" s="22" t="n">
        <x:f>IFERROR(G137/F137,0)</x:f>
        <x:v>0</x:v>
      </x:c>
      <x:c r="I137" s="12" t="str">
        <x:v>R08, R15</x:v>
      </x:c>
    </x:row>
    <x:row r="138" ht="58" customHeight="1">
      <x:c r="A138" s="12" t="str">
        <x:v>ST-3304</x:v>
      </x:c>
      <x:c r="B138" s="12" t="str">
        <x:v>S33</x:v>
      </x:c>
      <x:c r="C138" s="12" t="str">
        <x:v>QA RC1 và xử lý phản hồi nền tảng</x:v>
      </x:c>
      <x:c r="D138" s="12" t="str">
        <x:v>RC đủ tin cậy để tiến tới quyết định phát hành.</x:v>
      </x:c>
      <x:c r="E138" s="12" t="str">
        <x:v>ST-3303</x:v>
      </x:c>
      <x:c r="F138" s="12" t="n">
        <x:v>4</x:v>
      </x:c>
      <x:c r="G138" s="12" t="n">
        <x:f>COUNTIFS(Tasks!C$5:C$602,A138,Tasks!F$5:F$602,"DONE")</x:f>
        <x:v>0</x:v>
      </x:c>
      <x:c r="H138" s="22" t="n">
        <x:f>IFERROR(G138/F138,0)</x:f>
        <x:v>0</x:v>
      </x:c>
      <x:c r="I138" s="12" t="str">
        <x:v>R14, R15</x:v>
      </x:c>
    </x:row>
    <x:row r="139" ht="58" customHeight="1">
      <x:c r="A139" s="12" t="str">
        <x:v>ST-3401</x:v>
      </x:c>
      <x:c r="B139" s="12" t="str">
        <x:v>S34</x:v>
      </x:c>
      <x:c r="C139" s="12" t="str">
        <x:v>Xác minh RC cuối không có regression</x:v>
      </x:c>
      <x:c r="D139" s="12" t="str">
        <x:v>Build đưa ra thị trường đúng bản đã được kiểm chứng.</x:v>
      </x:c>
      <x:c r="E139" s="12" t="str">
        <x:v>ST-3304</x:v>
      </x:c>
      <x:c r="F139" s="12" t="n">
        <x:v>4</x:v>
      </x:c>
      <x:c r="G139" s="12" t="n">
        <x:f>COUNTIFS(Tasks!C$5:C$602,A139,Tasks!F$5:F$602,"DONE")</x:f>
        <x:v>0</x:v>
      </x:c>
      <x:c r="H139" s="22" t="n">
        <x:f>IFERROR(G139/F139,0)</x:f>
        <x:v>0</x:v>
      </x:c>
      <x:c r="I139" s="12" t="str">
        <x:v>R14, R17</x:v>
      </x:c>
    </x:row>
    <x:row r="140" ht="58" customHeight="1">
      <x:c r="A140" s="12" t="str">
        <x:v>ST-3402</x:v>
      </x:c>
      <x:c r="B140" s="12" t="str">
        <x:v>S34</x:v>
      </x:c>
      <x:c r="C140" s="12" t="str">
        <x:v>Hoàn tất điều kiện nền tảng và phê duyệt thương mại</x:v>
      </x:c>
      <x:c r="D140" s="12" t="str">
        <x:v>Game chỉ mở bán khi build và trang sản phẩm đều được chấp thuận.</x:v>
      </x:c>
      <x:c r="E140" s="12" t="str">
        <x:v>ST-3401, ST-3204</x:v>
      </x:c>
      <x:c r="F140" s="12" t="n">
        <x:v>4</x:v>
      </x:c>
      <x:c r="G140" s="12" t="n">
        <x:f>COUNTIFS(Tasks!C$5:C$602,A140,Tasks!F$5:F$602,"DONE")</x:f>
        <x:v>0</x:v>
      </x:c>
      <x:c r="H140" s="22" t="n">
        <x:f>IFERROR(G140/F140,0)</x:f>
        <x:v>0</x:v>
      </x:c>
      <x:c r="I140" s="12" t="str">
        <x:v>R15</x:v>
      </x:c>
    </x:row>
    <x:row r="141" ht="58" customHeight="1">
      <x:c r="A141" s="12" t="str">
        <x:v>ST-3403</x:v>
      </x:c>
      <x:c r="B141" s="12" t="str">
        <x:v>S34</x:v>
      </x:c>
      <x:c r="C141" s="12" t="str">
        <x:v>Diễn tập ngày launch không tác động public</x:v>
      </x:c>
      <x:c r="D141" s="12" t="str">
        <x:v>Owner có checklist theo thứ tự và biết dừng/rollback khi gặp lỗi.</x:v>
      </x:c>
      <x:c r="E141" s="12" t="str">
        <x:v>ST-3402</x:v>
      </x:c>
      <x:c r="F141" s="12" t="n">
        <x:v>4</x:v>
      </x:c>
      <x:c r="G141" s="12" t="n">
        <x:f>COUNTIFS(Tasks!C$5:C$602,A141,Tasks!F$5:F$602,"DONE")</x:f>
        <x:v>0</x:v>
      </x:c>
      <x:c r="H141" s="22" t="n">
        <x:f>IFERROR(G141/F141,0)</x:f>
        <x:v>0</x:v>
      </x:c>
      <x:c r="I141" s="12" t="str">
        <x:v>R15, R17</x:v>
      </x:c>
    </x:row>
    <x:row r="142" ht="58" customHeight="1">
      <x:c r="A142" s="12" t="str">
        <x:v>ST-3404</x:v>
      </x:c>
      <x:c r="B142" s="12" t="str">
        <x:v>S34</x:v>
      </x:c>
      <x:c r="C142" s="12" t="str">
        <x:v>Duyệt G7 và quyết định lịch cuối</x:v>
      </x:c>
      <x:c r="D142" s="12" t="str">
        <x:v>ORCHESTRATOR ra quyết định release dựa trên bằng chứng đầy đủ.</x:v>
      </x:c>
      <x:c r="E142" s="12" t="str">
        <x:v>ST-3403</x:v>
      </x:c>
      <x:c r="F142" s="12" t="n">
        <x:v>4</x:v>
      </x:c>
      <x:c r="G142" s="12" t="n">
        <x:f>COUNTIFS(Tasks!C$5:C$602,A142,Tasks!F$5:F$602,"DONE")</x:f>
        <x:v>0</x:v>
      </x:c>
      <x:c r="H142" s="22" t="n">
        <x:f>IFERROR(G142/F142,0)</x:f>
        <x:v>0</x:v>
      </x:c>
      <x:c r="I142" s="12" t="str">
        <x:v>R18</x:v>
      </x:c>
    </x:row>
    <x:row r="143" ht="58" customHeight="1">
      <x:c r="A143" s="12" t="str">
        <x:v>ST-3501</x:v>
      </x:c>
      <x:c r="B143" s="12" t="str">
        <x:v>S35</x:v>
      </x:c>
      <x:c r="C143" s="12" t="str">
        <x:v>Owner phát hành đúng build đã ký</x:v>
      </x:c>
      <x:c r="D143" s="12" t="str">
        <x:v>Khách hàng nhận bản 1.0 đúng phạm vi và chất lượng nghiệm thu.</x:v>
      </x:c>
      <x:c r="E143" s="12" t="str">
        <x:v>ST-3404</x:v>
      </x:c>
      <x:c r="F143" s="12" t="n">
        <x:v>4</x:v>
      </x:c>
      <x:c r="G143" s="12" t="n">
        <x:f>COUNTIFS(Tasks!C$5:C$602,A143,Tasks!F$5:F$602,"DONE")</x:f>
        <x:v>0</x:v>
      </x:c>
      <x:c r="H143" s="22" t="n">
        <x:f>IFERROR(G143/F143,0)</x:f>
        <x:v>0</x:v>
      </x:c>
      <x:c r="I143" s="12" t="str">
        <x:v>R15, R17</x:v>
      </x:c>
    </x:row>
    <x:row r="144" ht="58" customHeight="1">
      <x:c r="A144" s="12" t="str">
        <x:v>ST-3502</x:v>
      </x:c>
      <x:c r="B144" s="12" t="str">
        <x:v>S35</x:v>
      </x:c>
      <x:c r="C144" s="12" t="str">
        <x:v>Tiếp nhận lỗi launch và phản hồi</x:v>
      </x:c>
      <x:c r="D144" s="12" t="str">
        <x:v>Người chơi gửi lỗi được ghi nhận và xử lý theo mức nghiêm trọng.</x:v>
      </x:c>
      <x:c r="E144" s="12" t="str">
        <x:v>ST-3501</x:v>
      </x:c>
      <x:c r="F144" s="12" t="n">
        <x:v>4</x:v>
      </x:c>
      <x:c r="G144" s="12" t="n">
        <x:f>COUNTIFS(Tasks!C$5:C$602,A144,Tasks!F$5:F$602,"DONE")</x:f>
        <x:v>0</x:v>
      </x:c>
      <x:c r="H144" s="22" t="n">
        <x:f>IFERROR(G144/F144,0)</x:f>
        <x:v>0</x:v>
      </x:c>
      <x:c r="I144" s="12" t="str">
        <x:v>R15</x:v>
      </x:c>
    </x:row>
    <x:row r="145" ht="58" customHeight="1">
      <x:c r="A145" s="12" t="str">
        <x:v>ST-3503</x:v>
      </x:c>
      <x:c r="B145" s="12" t="str">
        <x:v>S35</x:v>
      </x:c>
      <x:c r="C145" s="12" t="str">
        <x:v>Hotfix có điều kiện, không phá save</x:v>
      </x:c>
      <x:c r="D145" s="12" t="str">
        <x:v>Khi có blocker sau launch, người chơi nhận bản sửa đã kiểm chứng.</x:v>
      </x:c>
      <x:c r="E145" s="12" t="str">
        <x:v>ST-3502</x:v>
      </x:c>
      <x:c r="F145" s="12" t="n">
        <x:v>4</x:v>
      </x:c>
      <x:c r="G145" s="12" t="n">
        <x:f>COUNTIFS(Tasks!C$5:C$602,A145,Tasks!F$5:F$602,"DONE")</x:f>
        <x:v>0</x:v>
      </x:c>
      <x:c r="H145" s="22" t="n">
        <x:f>IFERROR(G145/F145,0)</x:f>
        <x:v>0</x:v>
      </x:c>
      <x:c r="I145" s="12" t="str">
        <x:v>R08, R15</x:v>
      </x:c>
    </x:row>
    <x:row r="146" ht="58" customHeight="1">
      <x:c r="A146" s="12" t="str">
        <x:v>ST-3504</x:v>
      </x:c>
      <x:c r="B146" s="12" t="str">
        <x:v>S35</x:v>
      </x:c>
      <x:c r="C146" s="12" t="str">
        <x:v>Xác nhận sản phẩm full đã giao</x:v>
      </x:c>
      <x:c r="D146" s="12" t="str">
        <x:v>Owner có hồ sơ hoàn tất sản phẩm thay vì chỉ có trailer hoặc demo.</x:v>
      </x:c>
      <x:c r="E146" s="12" t="str">
        <x:v>ST-3503</x:v>
      </x:c>
      <x:c r="F146" s="12" t="n">
        <x:v>4</x:v>
      </x:c>
      <x:c r="G146" s="12" t="n">
        <x:f>COUNTIFS(Tasks!C$5:C$602,A146,Tasks!F$5:F$602,"DONE")</x:f>
        <x:v>0</x:v>
      </x:c>
      <x:c r="H146" s="22" t="n">
        <x:f>IFERROR(G146/F146,0)</x:f>
        <x:v>0</x:v>
      </x:c>
      <x:c r="I146" s="12" t="str">
        <x:v>R18</x:v>
      </x:c>
    </x:row>
    <x:row r="147" ht="58" customHeight="1">
      <x:c r="A147" s="12" t="str">
        <x:v>ST-3601</x:v>
      </x:c>
      <x:c r="B147" s="12" t="str">
        <x:v>S36</x:v>
      </x:c>
      <x:c r="C147" s="12" t="str">
        <x:v>Ổn định lỗi còn lại có ảnh hưởng người chơi</x:v>
      </x:c>
      <x:c r="D147" s="12" t="str">
        <x:v>Người chơi không bị bỏ lại với lỗi launch chưa được quản lý.</x:v>
      </x:c>
      <x:c r="E147" s="12" t="str">
        <x:v>ST-3504</x:v>
      </x:c>
      <x:c r="F147" s="12" t="n">
        <x:v>4</x:v>
      </x:c>
      <x:c r="G147" s="12" t="n">
        <x:f>COUNTIFS(Tasks!C$5:C$602,A147,Tasks!F$5:F$602,"DONE")</x:f>
        <x:v>0</x:v>
      </x:c>
      <x:c r="H147" s="22" t="n">
        <x:f>IFERROR(G147/F147,0)</x:f>
        <x:v>0</x:v>
      </x:c>
      <x:c r="I147" s="12" t="str">
        <x:v>R15, R14</x:v>
      </x:c>
    </x:row>
    <x:row r="148" ht="58" customHeight="1">
      <x:c r="A148" s="12" t="str">
        <x:v>ST-3602</x:v>
      </x:c>
      <x:c r="B148" s="12" t="str">
        <x:v>S36</x:v>
      </x:c>
      <x:c r="C148" s="12" t="str">
        <x:v>Bàn giao source, assets và khả năng rebuild</x:v>
      </x:c>
      <x:c r="D148" s="12" t="str">
        <x:v>Repository, source assets và reproducible toolchain cho phép agent khác tiếp quản không phụ thuộc máy của phiên trước.</x:v>
      </x:c>
      <x:c r="E148" s="12" t="str">
        <x:v>ST-3504</x:v>
      </x:c>
      <x:c r="F148" s="12" t="n">
        <x:v>4</x:v>
      </x:c>
      <x:c r="G148" s="12" t="n">
        <x:f>COUNTIFS(Tasks!C$5:C$602,A148,Tasks!F$5:F$602,"DONE")</x:f>
        <x:v>0</x:v>
      </x:c>
      <x:c r="H148" s="22" t="n">
        <x:f>IFERROR(G148/F148,0)</x:f>
        <x:v>0</x:v>
      </x:c>
      <x:c r="I148" s="12" t="str">
        <x:v>R17</x:v>
      </x:c>
    </x:row>
    <x:row r="149" ht="58" customHeight="1">
      <x:c r="A149" s="12" t="str">
        <x:v>ST-3603</x:v>
      </x:c>
      <x:c r="B149" s="12" t="str">
        <x:v>S36</x:v>
      </x:c>
      <x:c r="C149" s="12" t="str">
        <x:v>Tài liệu bảo trì và báo cáo sản xuất</x:v>
      </x:c>
      <x:c r="D149" s="12" t="str">
        <x:v>Owner hiểu chi phí/tiến độ thực và những gì cần duy trì sau 1.0.</x:v>
      </x:c>
      <x:c r="E149" s="12" t="str">
        <x:v>ST-3602</x:v>
      </x:c>
      <x:c r="F149" s="12" t="n">
        <x:v>4</x:v>
      </x:c>
      <x:c r="G149" s="12" t="n">
        <x:f>COUNTIFS(Tasks!C$5:C$602,A149,Tasks!F$5:F$602,"DONE")</x:f>
        <x:v>0</x:v>
      </x:c>
      <x:c r="H149" s="22" t="n">
        <x:f>IFERROR(G149/F149,0)</x:f>
        <x:v>0</x:v>
      </x:c>
      <x:c r="I149" s="12" t="str">
        <x:v>R18</x:v>
      </x:c>
    </x:row>
    <x:row r="150" ht="58" customHeight="1">
      <x:c r="A150" s="12" t="str">
        <x:v>ST-3604</x:v>
      </x:c>
      <x:c r="B150" s="12" t="str">
        <x:v>S36</x:v>
      </x:c>
      <x:c r="C150" s="12" t="str">
        <x:v>Nghiệm thu kết quả Full Game 1.0</x:v>
      </x:c>
      <x:c r="D150" s="12" t="str">
        <x:v>Chủ dự án nhận game hoàn chỉnh và hồ sơ vận hành có thể tiếp tục bảo trì.</x:v>
      </x:c>
      <x:c r="E150" s="12" t="str">
        <x:v>ST-3603</x:v>
      </x:c>
      <x:c r="F150" s="12" t="n">
        <x:v>4</x:v>
      </x:c>
      <x:c r="G150" s="12" t="n">
        <x:f>COUNTIFS(Tasks!C$5:C$602,A150,Tasks!F$5:F$602,"DONE")</x:f>
        <x:v>0</x:v>
      </x:c>
      <x:c r="H150" s="22" t="n">
        <x:f>IFERROR(G150/F150,0)</x:f>
        <x:v>0</x:v>
      </x:c>
      <x:c r="I150" s="12" t="str">
        <x:v>R18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bca7a1482e74cf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9" hidden="0" customWidth="1"/>
    <x:col min="3" max="3" width="15" hidden="0" customWidth="1"/>
    <x:col min="4" max="4" width="25" hidden="0" customWidth="1"/>
    <x:col min="5" max="5" width="45" hidden="0" customWidth="1"/>
    <x:col min="6" max="6" width="20" hidden="0" customWidth="1"/>
    <x:col min="7" max="7" width="32" hidden="0" customWidth="1"/>
    <x:col min="8" max="8" width="40" hidden="0" customWidth="1"/>
    <x:col min="9" max="9" width="30" hidden="0" customWidth="1"/>
    <x:col min="10" max="10" width="12" hidden="0" customWidth="1"/>
    <x:col min="11" max="11" width="40" hidden="0" customWidth="1"/>
    <x:col min="12" max="12" width="27" hidden="0" customWidth="1"/>
    <x:col min="13" max="13" width="13" hidden="0" customWidth="1"/>
  </x:cols>
  <x:sheetData>
    <x:row r="1" ht="36" customHeight="1">
      <x:c r="A1" s="3" t="str">
        <x:v>TASK LEDGER / 598 executable contracts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1" customHeight="1">
      <x:c r="A2" s="7" t="str">
        <x:v>Snapshot revision 60; gameplay3.1; source: plan/backlog.json + state/task_state.json.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8" t="str">
        <x:v>Task ID</x:v>
      </x:c>
      <x:c r="B4" s="18" t="str">
        <x:v>Wave</x:v>
      </x:c>
      <x:c r="C4" s="18" t="str">
        <x:v>Story</x:v>
      </x:c>
      <x:c r="D4" s="18" t="str">
        <x:v>Agent mode</x:v>
      </x:c>
      <x:c r="E4" s="18" t="str">
        <x:v>Task / outcome</x:v>
      </x:c>
      <x:c r="F4" s="18" t="str">
        <x:v>Status</x:v>
      </x:c>
      <x:c r="G4" s="18" t="str">
        <x:v>Dependencies</x:v>
      </x:c>
      <x:c r="H4" s="18" t="str">
        <x:v>Required outputs</x:v>
      </x:c>
      <x:c r="I4" s="18" t="str">
        <x:v>Verification kinds</x:v>
      </x:c>
      <x:c r="J4" s="18" t="str">
        <x:v>Complexity</x:v>
      </x:c>
      <x:c r="K4" s="18" t="str">
        <x:v>Evidence path</x:v>
      </x:c>
      <x:c r="L4" s="18" t="str">
        <x:v>Full task card</x:v>
      </x:c>
      <x:c r="M4" s="18" t="str">
        <x:v>Permission</x:v>
      </x:c>
    </x:row>
    <x:row r="5" ht="58" customHeight="1">
      <x:c r="A5" s="12" t="str">
        <x:v>T-010101</x:v>
      </x:c>
      <x:c r="B5" s="12" t="str">
        <x:v>S01</x:v>
      </x:c>
      <x:c r="C5" s="12" t="str">
        <x:v>ST-0101</x:v>
      </x:c>
      <x:c r="D5" s="12" t="str">
        <x:v>ORCHESTRATOR</x:v>
      </x:c>
      <x:c r="E5" s="12" t="str">
        <x:v>Áp dụng phạm vi GDD v3 vào repository</x:v>
      </x:c>
      <x:c r="F5" s="12" t="str">
        <x:v>DONE</x:v>
      </x:c>
      <x:c r="G5" s="12" t="str"/>
      <x:c r="H5" s="12" t="str">
        <x:v>docs/product_scope.md</x:v>
      </x:c>
      <x:c r="I5" s="12" t="str">
        <x:v>ARTIFACT_REVIEW</x:v>
      </x:c>
      <x:c r="J5" s="12" t="str">
        <x:v>M</x:v>
      </x:c>
      <x:c r="K5" s="12" t="str">
        <x:v>reports/tasks/T-010101/evidence.json</x:v>
      </x:c>
      <x:c r="L5" s="12" t="str">
        <x:v>tasks/T-010101.md</x:v>
      </x:c>
      <x:c r="M5" s="12" t="str">
        <x:v>none</x:v>
      </x:c>
    </x:row>
    <x:row r="6" ht="58" customHeight="1">
      <x:c r="A6" s="12" t="str">
        <x:v>T-010102</x:v>
      </x:c>
      <x:c r="B6" s="12" t="str">
        <x:v>S01</x:v>
      </x:c>
      <x:c r="C6" s="12" t="str">
        <x:v>ST-0101</x:v>
      </x:c>
      <x:c r="D6" s="12" t="str">
        <x:v>ORCHESTRATOR</x:v>
      </x:c>
      <x:c r="E6" s="12" t="str">
        <x:v>Định danh yêu cầu và nghiệm thu bản phát hành</x:v>
      </x:c>
      <x:c r="F6" s="12" t="str">
        <x:v>DONE</x:v>
      </x:c>
      <x:c r="G6" s="12" t="str">
        <x:v>T-010101</x:v>
      </x:c>
      <x:c r="H6" s="12" t="str">
        <x:v>docs/requirements.md</x:v>
      </x:c>
      <x:c r="I6" s="12" t="str">
        <x:v>ARTIFACT_REVIEW</x:v>
      </x:c>
      <x:c r="J6" s="12" t="str">
        <x:v>M</x:v>
      </x:c>
      <x:c r="K6" s="12" t="str">
        <x:v>reports/tasks/T-010102/evidence.json</x:v>
      </x:c>
      <x:c r="L6" s="12" t="str">
        <x:v>tasks/T-010102.md</x:v>
      </x:c>
      <x:c r="M6" s="12" t="str">
        <x:v>none</x:v>
      </x:c>
    </x:row>
    <x:row r="7" ht="58" customHeight="1">
      <x:c r="A7" s="12" t="str">
        <x:v>T-010103</x:v>
      </x:c>
      <x:c r="B7" s="12" t="str">
        <x:v>S01</x:v>
      </x:c>
      <x:c r="C7" s="12" t="str">
        <x:v>ST-0101</x:v>
      </x:c>
      <x:c r="D7" s="12" t="str">
        <x:v>ORCHESTRATOR</x:v>
      </x:c>
      <x:c r="E7" s="12" t="str">
        <x:v>Kiểm kê công cụ và giới hạn tự chủ của agent</x:v>
      </x:c>
      <x:c r="F7" s="12" t="str">
        <x:v>DONE</x:v>
      </x:c>
      <x:c r="G7" s="12" t="str">
        <x:v>T-010102</x:v>
      </x:c>
      <x:c r="H7" s="12" t="str">
        <x:v>config/agent_capabilities.json; config/permissions.json</x:v>
      </x:c>
      <x:c r="I7" s="12" t="str">
        <x:v>ARTIFACT_REVIEW</x:v>
      </x:c>
      <x:c r="J7" s="12" t="str">
        <x:v>M</x:v>
      </x:c>
      <x:c r="K7" s="12" t="str">
        <x:v>reports/tasks/T-010103/evidence.json</x:v>
      </x:c>
      <x:c r="L7" s="12" t="str">
        <x:v>tasks/T-010103.md</x:v>
      </x:c>
      <x:c r="M7" s="12" t="str">
        <x:v>none</x:v>
      </x:c>
    </x:row>
    <x:row r="8" ht="58" customHeight="1">
      <x:c r="A8" s="12" t="str">
        <x:v>T-010104</x:v>
      </x:c>
      <x:c r="B8" s="12" t="str">
        <x:v>S01</x:v>
      </x:c>
      <x:c r="C8" s="12" t="str">
        <x:v>ST-0101</x:v>
      </x:c>
      <x:c r="D8" s="12" t="str">
        <x:v>ORCHESTRATOR</x:v>
      </x:c>
      <x:c r="E8" s="12" t="str">
        <x:v>Khóa baseline thực thi và decision log</x:v>
      </x:c>
      <x:c r="F8" s="12" t="str">
        <x:v>DONE</x:v>
      </x:c>
      <x:c r="G8" s="12" t="str">
        <x:v>T-010103</x:v>
      </x:c>
      <x:c r="H8" s="12" t="str">
        <x:v>docs/decisions/ADR-000-scope.md</x:v>
      </x:c>
      <x:c r="I8" s="12" t="str">
        <x:v>ARTIFACT_REVIEW</x:v>
      </x:c>
      <x:c r="J8" s="12" t="str">
        <x:v>S</x:v>
      </x:c>
      <x:c r="K8" s="12" t="str">
        <x:v>reports/tasks/T-010104/evidence.json</x:v>
      </x:c>
      <x:c r="L8" s="12" t="str">
        <x:v>tasks/T-010104.md</x:v>
      </x:c>
      <x:c r="M8" s="12" t="str">
        <x:v>none</x:v>
      </x:c>
    </x:row>
    <x:row r="9" ht="58" customHeight="1">
      <x:c r="A9" s="12" t="str">
        <x:v>T-010201</x:v>
      </x:c>
      <x:c r="B9" s="12" t="str">
        <x:v>S01</x:v>
      </x:c>
      <x:c r="C9" s="12" t="str">
        <x:v>ST-0102</x:v>
      </x:c>
      <x:c r="D9" s="12" t="str">
        <x:v>NARRATIVE_AGENT</x:v>
      </x:c>
      <x:c r="E9" s="12" t="str">
        <x:v>Viết timeline sự kiện gốc và nhánh vay mượn</x:v>
      </x:c>
      <x:c r="F9" s="12" t="str">
        <x:v>DONE</x:v>
      </x:c>
      <x:c r="G9" s="12" t="str">
        <x:v>T-010101, T-010102, T-010103, T-010104</x:v>
      </x:c>
      <x:c r="H9" s="12" t="str">
        <x:v>docs/story/canon_timeline.md</x:v>
      </x:c>
      <x:c r="I9" s="12" t="str">
        <x:v>ARTIFACT_REVIEW</x:v>
      </x:c>
      <x:c r="J9" s="12" t="str">
        <x:v>M</x:v>
      </x:c>
      <x:c r="K9" s="12" t="str">
        <x:v>reports/tasks/T-010201/evidence.json</x:v>
      </x:c>
      <x:c r="L9" s="12" t="str">
        <x:v>tasks/T-010201.md</x:v>
      </x:c>
      <x:c r="M9" s="12" t="str">
        <x:v>none</x:v>
      </x:c>
    </x:row>
    <x:row r="10" ht="58" customHeight="1">
      <x:c r="A10" s="12" t="str">
        <x:v>T-010202</x:v>
      </x:c>
      <x:c r="B10" s="12" t="str">
        <x:v>S01</x:v>
      </x:c>
      <x:c r="C10" s="12" t="str">
        <x:v>ST-0102</x:v>
      </x:c>
      <x:c r="D10" s="12" t="str">
        <x:v>NARRATIVE_AGENT</x:v>
      </x:c>
      <x:c r="E10" s="12" t="str">
        <x:v>Khóa luật ký ức, vật chứng và aging của An</x:v>
      </x:c>
      <x:c r="F10" s="12" t="str">
        <x:v>DONE</x:v>
      </x:c>
      <x:c r="G10" s="12" t="str">
        <x:v>T-010101, T-010102, T-010103, T-010104, T-010201</x:v>
      </x:c>
      <x:c r="H10" s="12" t="str">
        <x:v>docs/story/world_rules.md</x:v>
      </x:c>
      <x:c r="I10" s="12" t="str">
        <x:v>ARTIFACT_REVIEW</x:v>
      </x:c>
      <x:c r="J10" s="12" t="str">
        <x:v>M</x:v>
      </x:c>
      <x:c r="K10" s="12" t="str">
        <x:v>reports/tasks/T-010202/evidence.json</x:v>
      </x:c>
      <x:c r="L10" s="12" t="str">
        <x:v>tasks/T-010202.md</x:v>
      </x:c>
      <x:c r="M10" s="12" t="str">
        <x:v>none</x:v>
      </x:c>
    </x:row>
    <x:row r="11" ht="58" customHeight="1">
      <x:c r="A11" s="12" t="str">
        <x:v>T-010203</x:v>
      </x:c>
      <x:c r="B11" s="12" t="str">
        <x:v>S01</x:v>
      </x:c>
      <x:c r="C11" s="12" t="str">
        <x:v>ST-0102</x:v>
      </x:c>
      <x:c r="D11" s="12" t="str">
        <x:v>NARRATIVE_AGENT</x:v>
      </x:c>
      <x:c r="E11" s="12" t="str">
        <x:v>Lập reveal matrix và điều kiện ba ending</x:v>
      </x:c>
      <x:c r="F11" s="12" t="str">
        <x:v>DONE</x:v>
      </x:c>
      <x:c r="G11" s="12" t="str">
        <x:v>T-010101, T-010102, T-010103, T-010104, T-010202</x:v>
      </x:c>
      <x:c r="H11" s="12" t="str">
        <x:v>docs/story/reveal_ending_matrix.md</x:v>
      </x:c>
      <x:c r="I11" s="12" t="str">
        <x:v>ARTIFACT_REVIEW</x:v>
      </x:c>
      <x:c r="J11" s="12" t="str">
        <x:v>M</x:v>
      </x:c>
      <x:c r="K11" s="12" t="str">
        <x:v>reports/tasks/T-010203/evidence.json</x:v>
      </x:c>
      <x:c r="L11" s="12" t="str">
        <x:v>tasks/T-010203.md</x:v>
      </x:c>
      <x:c r="M11" s="12" t="str">
        <x:v>none</x:v>
      </x:c>
    </x:row>
    <x:row r="12" ht="58" customHeight="1">
      <x:c r="A12" s="12" t="str">
        <x:v>T-010204</x:v>
      </x:c>
      <x:c r="B12" s="12" t="str">
        <x:v>S01</x:v>
      </x:c>
      <x:c r="C12" s="12" t="str">
        <x:v>ST-0102</x:v>
      </x:c>
      <x:c r="D12" s="12" t="str">
        <x:v>NARRATIVE_AGENT</x:v>
      </x:c>
      <x:c r="E12" s="12" t="str">
        <x:v>Kiểm tra continuity theo canon v3</x:v>
      </x:c>
      <x:c r="F12" s="12" t="str">
        <x:v>DONE</x:v>
      </x:c>
      <x:c r="G12" s="12" t="str">
        <x:v>T-010101, T-010102, T-010103, T-010104, T-010203</x:v>
      </x:c>
      <x:c r="H12" s="12" t="str">
        <x:v>docs/story/canon_review.md</x:v>
      </x:c>
      <x:c r="I12" s="12" t="str">
        <x:v>ARTIFACT_REVIEW</x:v>
      </x:c>
      <x:c r="J12" s="12" t="str">
        <x:v>S</x:v>
      </x:c>
      <x:c r="K12" s="12" t="str">
        <x:v>reports/tasks/T-010204/evidence.json</x:v>
      </x:c>
      <x:c r="L12" s="12" t="str">
        <x:v>tasks/T-010204.md</x:v>
      </x:c>
      <x:c r="M12" s="12" t="str">
        <x:v>none</x:v>
      </x:c>
    </x:row>
    <x:row r="13" ht="58" customHeight="1">
      <x:c r="A13" s="12" t="str">
        <x:v>T-010301</x:v>
      </x:c>
      <x:c r="B13" s="12" t="str">
        <x:v>S01</x:v>
      </x:c>
      <x:c r="C13" s="12" t="str">
        <x:v>ST-0103</x:v>
      </x:c>
      <x:c r="D13" s="12" t="str">
        <x:v>GAMEPLAY_AGENT</x:v>
      </x:c>
      <x:c r="E13" s="12" t="str">
        <x:v>Pin toolchain và khởi tạo project settings</x:v>
      </x:c>
      <x:c r="F13" s="12" t="str">
        <x:v>DONE</x:v>
      </x:c>
      <x:c r="G13" s="12" t="str">
        <x:v>T-010101, T-010102, T-010103, T-010104</x:v>
      </x:c>
      <x:c r="H13" s="12" t="str">
        <x:v>project.godot; config/toolchain.lock.json; tests/test_runner.gd</x:v>
      </x:c>
      <x:c r="I13" s="12" t="str">
        <x:v>ARTIFACT_REVIEW, ENGINE_TEST</x:v>
      </x:c>
      <x:c r="J13" s="12" t="str">
        <x:v>M</x:v>
      </x:c>
      <x:c r="K13" s="12" t="str">
        <x:v>reports/tasks/T-010301/evidence.json</x:v>
      </x:c>
      <x:c r="L13" s="12" t="str">
        <x:v>tasks/T-010301.md</x:v>
      </x:c>
      <x:c r="M13" s="12" t="str">
        <x:v>none</x:v>
      </x:c>
    </x:row>
    <x:row r="14" ht="58" customHeight="1">
      <x:c r="A14" s="12" t="str">
        <x:v>T-010302</x:v>
      </x:c>
      <x:c r="B14" s="12" t="str">
        <x:v>S01</x:v>
      </x:c>
      <x:c r="C14" s="12" t="str">
        <x:v>ST-0103</x:v>
      </x:c>
      <x:c r="D14" s="12" t="str">
        <x:v>QA_AGENT</x:v>
      </x:c>
      <x:c r="E14" s="12" t="str">
        <x:v>Tạo main scene, cấu trúc source và InputMap</x:v>
      </x:c>
      <x:c r="F14" s="12" t="str">
        <x:v>DONE</x:v>
      </x:c>
      <x:c r="G14" s="12" t="str">
        <x:v>T-010101, T-010102, T-010103, T-010104, T-010301</x:v>
      </x:c>
      <x:c r="H14" s="12" t="str">
        <x:v>scenes/main.tscn; scripts/; tests/</x:v>
      </x:c>
      <x:c r="I14" s="12" t="str">
        <x:v>ARTIFACT_REVIEW, ENGINE_TEST, RENDERED_RUNTIME</x:v>
      </x:c>
      <x:c r="J14" s="12" t="str">
        <x:v>M</x:v>
      </x:c>
      <x:c r="K14" s="12" t="str">
        <x:v>reports/tasks/T-010302/evidence.json</x:v>
      </x:c>
      <x:c r="L14" s="12" t="str">
        <x:v>tasks/T-010302.md</x:v>
      </x:c>
      <x:c r="M14" s="12" t="str">
        <x:v>none</x:v>
      </x:c>
    </x:row>
    <x:row r="15" ht="58" customHeight="1">
      <x:c r="A15" s="12" t="str">
        <x:v>T-010303</x:v>
      </x:c>
      <x:c r="B15" s="12" t="str">
        <x:v>S01</x:v>
      </x:c>
      <x:c r="C15" s="12" t="str">
        <x:v>ST-0103</x:v>
      </x:c>
      <x:c r="D15" s="12" t="str">
        <x:v>GAMEPLAY_AGENT</x:v>
      </x:c>
      <x:c r="E15" s="12" t="str">
        <x:v>Tạo build entrypoint và quy tắc Git/LFS</x:v>
      </x:c>
      <x:c r="F15" s="12" t="str">
        <x:v>DONE</x:v>
      </x:c>
      <x:c r="G15" s="12" t="str">
        <x:v>T-010101, T-010102, T-010103, T-010104, T-010302</x:v>
      </x:c>
      <x:c r="H15" s="12" t="str">
        <x:v>scripts/build_windows.py; .gitattributes; .gitignore; export_presets.cfg</x:v>
      </x:c>
      <x:c r="I15" s="12" t="str">
        <x:v>ARTIFACT_REVIEW, ENGINE_TEST</x:v>
      </x:c>
      <x:c r="J15" s="12" t="str">
        <x:v>M</x:v>
      </x:c>
      <x:c r="K15" s="12" t="str">
        <x:v>reports/tasks/T-010303/evidence.json</x:v>
      </x:c>
      <x:c r="L15" s="12" t="str">
        <x:v>tasks/T-010303.md</x:v>
      </x:c>
      <x:c r="M15" s="12" t="str">
        <x:v>none</x:v>
      </x:c>
    </x:row>
    <x:row r="16" ht="58" customHeight="1">
      <x:c r="A16" s="12" t="str">
        <x:v>T-010304</x:v>
      </x:c>
      <x:c r="B16" s="12" t="str">
        <x:v>S01</x:v>
      </x:c>
      <x:c r="C16" s="12" t="str">
        <x:v>ST-0103</x:v>
      </x:c>
      <x:c r="D16" s="12" t="str">
        <x:v>QA_AGENT</x:v>
      </x:c>
      <x:c r="E16" s="12" t="str">
        <x:v>Chạy import và export clean build</x:v>
      </x:c>
      <x:c r="F16" s="12" t="str">
        <x:v>DONE</x:v>
      </x:c>
      <x:c r="G16" s="12" t="str">
        <x:v>T-010101, T-010102, T-010103, T-010104, T-010303</x:v>
      </x:c>
      <x:c r="H16" s="12" t="str">
        <x:v>reports/S01/build_smoke.md</x:v>
      </x:c>
      <x:c r="I16" s="12" t="str">
        <x:v>ARTIFACT_REVIEW, ENGINE_TEST, RENDERED_RUNTIME, WINDOWS_RUNTIME</x:v>
      </x:c>
      <x:c r="J16" s="12" t="str">
        <x:v>S</x:v>
      </x:c>
      <x:c r="K16" s="12" t="str">
        <x:v>reports/tasks/T-010304/evidence.json</x:v>
      </x:c>
      <x:c r="L16" s="12" t="str">
        <x:v>tasks/T-010304.md</x:v>
      </x:c>
      <x:c r="M16" s="12" t="str">
        <x:v>none</x:v>
      </x:c>
    </x:row>
    <x:row r="17" ht="58" customHeight="1">
      <x:c r="A17" s="12" t="str">
        <x:v>T-010401</x:v>
      </x:c>
      <x:c r="B17" s="12" t="str">
        <x:v>S01</x:v>
      </x:c>
      <x:c r="C17" s="12" t="str">
        <x:v>ST-0104</x:v>
      </x:c>
      <x:c r="D17" s="12" t="str">
        <x:v>ORCHESTRATOR</x:v>
      </x:c>
      <x:c r="E17" s="12" t="str">
        <x:v>Khởi tạo ledger, evidence và resume workflow</x:v>
      </x:c>
      <x:c r="F17" s="12" t="str">
        <x:v>DONE</x:v>
      </x:c>
      <x:c r="G17" s="12" t="str">
        <x:v>T-010201, T-010202, T-010203, T-010204, T-010301, T-010302, T-010303, T-010304</x:v>
      </x:c>
      <x:c r="H17" s="12" t="str">
        <x:v>docs/workflow.md; tests/test_runner.gd; tools/validate_game_data.py</x:v>
      </x:c>
      <x:c r="I17" s="12" t="str">
        <x:v>ARTIFACT_REVIEW, ENGINE_TEST</x:v>
      </x:c>
      <x:c r="J17" s="12" t="str">
        <x:v>M</x:v>
      </x:c>
      <x:c r="K17" s="12" t="str">
        <x:v>reports/tasks/T-010401/evidence.json</x:v>
      </x:c>
      <x:c r="L17" s="12" t="str">
        <x:v>tasks/T-010401.md</x:v>
      </x:c>
      <x:c r="M17" s="12" t="str">
        <x:v>none</x:v>
      </x:c>
    </x:row>
    <x:row r="18" ht="58" customHeight="1">
      <x:c r="A18" s="12" t="str">
        <x:v>T-010402</x:v>
      </x:c>
      <x:c r="B18" s="12" t="str">
        <x:v>S01</x:v>
      </x:c>
      <x:c r="C18" s="12" t="str">
        <x:v>ST-0104</x:v>
      </x:c>
      <x:c r="D18" s="12" t="str">
        <x:v>GAMEPLAY_AGENT</x:v>
      </x:c>
      <x:c r="E18" s="12" t="str">
        <x:v>Đánh giá khả năng nhập model và vận hành Godot</x:v>
      </x:c>
      <x:c r="F18" s="12" t="str">
        <x:v>DONE</x:v>
      </x:c>
      <x:c r="G18" s="12" t="str">
        <x:v>T-010201, T-010202, T-010203, T-010204, T-010301, T-010302, T-010303, T-010304, T-010401</x:v>
      </x:c>
      <x:c r="H18" s="12" t="str">
        <x:v>reports/S01/skill_spike.md</x:v>
      </x:c>
      <x:c r="I18" s="12" t="str">
        <x:v>ARTIFACT_REVIEW, ENGINE_TEST</x:v>
      </x:c>
      <x:c r="J18" s="12" t="str">
        <x:v>M</x:v>
      </x:c>
      <x:c r="K18" s="12" t="str">
        <x:v>reports/tasks/T-010402/evidence.json</x:v>
      </x:c>
      <x:c r="L18" s="12" t="str">
        <x:v>tasks/T-010402.md</x:v>
      </x:c>
      <x:c r="M18" s="12" t="str">
        <x:v>none</x:v>
      </x:c>
    </x:row>
    <x:row r="19" ht="58" customHeight="1">
      <x:c r="A19" s="12" t="str">
        <x:v>T-010403</x:v>
      </x:c>
      <x:c r="B19" s="12" t="str">
        <x:v>S01</x:v>
      </x:c>
      <x:c r="C19" s="12" t="str">
        <x:v>ST-0104</x:v>
      </x:c>
      <x:c r="D19" s="12" t="str">
        <x:v>ORCHESTRATOR</x:v>
      </x:c>
      <x:c r="E19" s="12" t="str">
        <x:v>Đăng ký capability blocker và pipeline art/audio tự chủ</x:v>
      </x:c>
      <x:c r="F19" s="12" t="str">
        <x:v>DONE</x:v>
      </x:c>
      <x:c r="G19" s="12" t="str">
        <x:v>T-010201, T-010202, T-010203, T-010204, T-010301, T-010302, T-010303, T-010304, T-010402</x:v>
      </x:c>
      <x:c r="H19" s="12" t="str">
        <x:v>docs/risks.md; docs/assets_execution.md</x:v>
      </x:c>
      <x:c r="I19" s="12" t="str">
        <x:v>ARTIFACT_REVIEW</x:v>
      </x:c>
      <x:c r="J19" s="12" t="str">
        <x:v>M</x:v>
      </x:c>
      <x:c r="K19" s="12" t="str">
        <x:v>reports/tasks/T-010403/evidence.json</x:v>
      </x:c>
      <x:c r="L19" s="12" t="str">
        <x:v>tasks/T-010403.md</x:v>
      </x:c>
      <x:c r="M19" s="12" t="str">
        <x:v>none</x:v>
      </x:c>
    </x:row>
    <x:row r="20" ht="58" customHeight="1">
      <x:c r="A20" s="12" t="str">
        <x:v>T-010404</x:v>
      </x:c>
      <x:c r="B20" s="12" t="str">
        <x:v>S01</x:v>
      </x:c>
      <x:c r="C20" s="12" t="str">
        <x:v>ST-0104</x:v>
      </x:c>
      <x:c r="D20" s="12" t="str">
        <x:v>ORCHESTRATOR</x:v>
      </x:c>
      <x:c r="E20" s="12" t="str">
        <x:v>Nghiệm thu G0 bằng bằng chứng của agent</x:v>
      </x:c>
      <x:c r="F20" s="12" t="str">
        <x:v>DONE</x:v>
      </x:c>
      <x:c r="G20" s="12" t="str">
        <x:v>T-010201, T-010202, T-010203, T-010204, T-010301, T-010302, T-010303, T-010304, T-010403</x:v>
      </x:c>
      <x:c r="H20" s="12" t="str">
        <x:v>reports/S01/gate_G0.md</x:v>
      </x:c>
      <x:c r="I20" s="12" t="str">
        <x:v>ARTIFACT_REVIEW, ENGINE_TEST</x:v>
      </x:c>
      <x:c r="J20" s="12" t="str">
        <x:v>S</x:v>
      </x:c>
      <x:c r="K20" s="12" t="str">
        <x:v>reports/tasks/T-010404/evidence.json</x:v>
      </x:c>
      <x:c r="L20" s="12" t="str">
        <x:v>tasks/T-010404.md</x:v>
      </x:c>
      <x:c r="M20" s="12" t="str">
        <x:v>none</x:v>
      </x:c>
    </x:row>
    <x:row r="21" ht="58" customHeight="1">
      <x:c r="A21" s="12" t="str">
        <x:v>T-020101</x:v>
      </x:c>
      <x:c r="B21" s="12" t="str">
        <x:v>S02</x:v>
      </x:c>
      <x:c r="C21" s="12" t="str">
        <x:v>ST-0201</x:v>
      </x:c>
      <x:c r="D21" s="12" t="str">
        <x:v>GAMEPLAY_AGENT</x:v>
      </x:c>
      <x:c r="E21" s="12" t="str">
        <x:v>Dựng CharacterBody3D, capsule và gravity</x:v>
      </x:c>
      <x:c r="F21" s="12" t="str">
        <x:v>DONE</x:v>
      </x:c>
      <x:c r="G21" s="12" t="str">
        <x:v>T-010301, T-010302, T-010303, T-010304</x:v>
      </x:c>
      <x:c r="H21" s="12" t="str">
        <x:v>scenes/player/player.tscn</x:v>
      </x:c>
      <x:c r="I21" s="12" t="str">
        <x:v>ARTIFACT_REVIEW, ENGINE_TEST</x:v>
      </x:c>
      <x:c r="J21" s="12" t="str">
        <x:v>M</x:v>
      </x:c>
      <x:c r="K21" s="12" t="str">
        <x:v>reports/tasks/T-020101/evidence.json</x:v>
      </x:c>
      <x:c r="L21" s="12" t="str">
        <x:v>tasks/T-020101.md</x:v>
      </x:c>
      <x:c r="M21" s="12" t="str">
        <x:v>none</x:v>
      </x:c>
    </x:row>
    <x:row r="22" ht="58" customHeight="1">
      <x:c r="A22" s="12" t="str">
        <x:v>T-020102</x:v>
      </x:c>
      <x:c r="B22" s="12" t="str">
        <x:v>S02</x:v>
      </x:c>
      <x:c r="C22" s="12" t="str">
        <x:v>ST-0201</x:v>
      </x:c>
      <x:c r="D22" s="12" t="str">
        <x:v>GAMEPLAY_AGENT</x:v>
      </x:c>
      <x:c r="E22" s="12" t="str">
        <x:v>Implement acceleration, deceleration, input normalization</x:v>
      </x:c>
      <x:c r="F22" s="12" t="str">
        <x:v>DONE</x:v>
      </x:c>
      <x:c r="G22" s="12" t="str">
        <x:v>T-010301, T-010302, T-010303, T-010304, T-020101</x:v>
      </x:c>
      <x:c r="H22" s="12" t="str">
        <x:v>scripts/player/player_controller.gd</x:v>
      </x:c>
      <x:c r="I22" s="12" t="str">
        <x:v>ARTIFACT_REVIEW, ENGINE_TEST</x:v>
      </x:c>
      <x:c r="J22" s="12" t="str">
        <x:v>L</x:v>
      </x:c>
      <x:c r="K22" s="12" t="str">
        <x:v>reports/tasks/T-020102/evidence.json</x:v>
      </x:c>
      <x:c r="L22" s="12" t="str">
        <x:v>tasks/T-020102.md</x:v>
      </x:c>
      <x:c r="M22" s="12" t="str">
        <x:v>none</x:v>
      </x:c>
    </x:row>
    <x:row r="23" ht="58" customHeight="1">
      <x:c r="A23" s="12" t="str">
        <x:v>T-020103</x:v>
      </x:c>
      <x:c r="B23" s="12" t="str">
        <x:v>S02</x:v>
      </x:c>
      <x:c r="C23" s="12" t="str">
        <x:v>ST-0201</x:v>
      </x:c>
      <x:c r="D23" s="12" t="str">
        <x:v>GAMEPLAY_AGENT</x:v>
      </x:c>
      <x:c r="E23" s="12" t="str">
        <x:v>Khóa biên hành lang và locomotion states</x:v>
      </x:c>
      <x:c r="F23" s="12" t="str">
        <x:v>DONE</x:v>
      </x:c>
      <x:c r="G23" s="12" t="str">
        <x:v>T-010301, T-010302, T-010303, T-010304, T-020102</x:v>
      </x:c>
      <x:c r="H23" s="12" t="str">
        <x:v>scripts/player/locomotion_state.gd</x:v>
      </x:c>
      <x:c r="I23" s="12" t="str">
        <x:v>ARTIFACT_REVIEW, ENGINE_TEST</x:v>
      </x:c>
      <x:c r="J23" s="12" t="str">
        <x:v>M</x:v>
      </x:c>
      <x:c r="K23" s="12" t="str">
        <x:v>reports/tasks/T-020103/evidence.json</x:v>
      </x:c>
      <x:c r="L23" s="12" t="str">
        <x:v>tasks/T-020103.md</x:v>
      </x:c>
      <x:c r="M23" s="12" t="str">
        <x:v>none</x:v>
      </x:c>
    </x:row>
    <x:row r="24" ht="58" customHeight="1">
      <x:c r="A24" s="12" t="str">
        <x:v>T-020104</x:v>
      </x:c>
      <x:c r="B24" s="12" t="str">
        <x:v>S02</x:v>
      </x:c>
      <x:c r="C24" s="12" t="str">
        <x:v>ST-0201</x:v>
      </x:c>
      <x:c r="D24" s="12" t="str">
        <x:v>QA_AGENT</x:v>
      </x:c>
      <x:c r="E24" s="12" t="str">
        <x:v>Test dốc, góc tường và tốc độ khung hình</x:v>
      </x:c>
      <x:c r="F24" s="12" t="str">
        <x:v>IN_PROGRESS</x:v>
      </x:c>
      <x:c r="G24" s="12" t="str">
        <x:v>T-010301, T-010302, T-010303, T-010304, T-020103</x:v>
      </x:c>
      <x:c r="H24" s="12" t="str">
        <x:v>reports/S02/movement.md</x:v>
      </x:c>
      <x:c r="I24" s="12" t="str">
        <x:v>ARTIFACT_REVIEW, ENGINE_TEST, RENDERED_RUNTIME</x:v>
      </x:c>
      <x:c r="J24" s="12" t="str">
        <x:v>S</x:v>
      </x:c>
      <x:c r="K24" s="12" t="str">
        <x:v>reports/tasks/T-020104/evidence.json</x:v>
      </x:c>
      <x:c r="L24" s="12" t="str">
        <x:v>tasks/T-020104.md</x:v>
      </x:c>
      <x:c r="M24" s="12" t="str">
        <x:v>none</x:v>
      </x:c>
    </x:row>
    <x:row r="25" ht="58" customHeight="1">
      <x:c r="A25" s="12" t="str">
        <x:v>T-020201</x:v>
      </x:c>
      <x:c r="B25" s="12" t="str">
        <x:v>S02</x:v>
      </x:c>
      <x:c r="C25" s="12" t="str">
        <x:v>ST-0202</x:v>
      </x:c>
      <x:c r="D25" s="12" t="str">
        <x:v>GAMEPLAY_AGENT</x:v>
      </x:c>
      <x:c r="E25" s="12" t="str">
        <x:v>Tạo CameraRig và preset perspective</x:v>
      </x:c>
      <x:c r="F25" s="12" t="str">
        <x:v>NOT_STARTED</x:v>
      </x:c>
      <x:c r="G25" s="12" t="str">
        <x:v>T-020101, T-020102, T-020103, T-020104</x:v>
      </x:c>
      <x:c r="H25" s="12" t="str">
        <x:v>scenes/camera/camera_rig.tscn</x:v>
      </x:c>
      <x:c r="I25" s="12" t="str">
        <x:v>ARTIFACT_REVIEW, ENGINE_TEST, RENDERED_RUNTIME</x:v>
      </x:c>
      <x:c r="J25" s="12" t="str">
        <x:v>M</x:v>
      </x:c>
      <x:c r="K25" s="12" t="str">
        <x:v>reports/tasks/T-020201/evidence.json</x:v>
      </x:c>
      <x:c r="L25" s="12" t="str">
        <x:v>tasks/T-020201.md</x:v>
      </x:c>
      <x:c r="M25" s="12" t="str">
        <x:v>none</x:v>
      </x:c>
    </x:row>
    <x:row r="26" ht="58" customHeight="1">
      <x:c r="A26" s="12" t="str">
        <x:v>T-020202</x:v>
      </x:c>
      <x:c r="B26" s="12" t="str">
        <x:v>S02</x:v>
      </x:c>
      <x:c r="C26" s="12" t="str">
        <x:v>ST-0202</x:v>
      </x:c>
      <x:c r="D26" s="12" t="str">
        <x:v>GAMEPLAY_AGENT</x:v>
      </x:c>
      <x:c r="E26" s="12" t="str">
        <x:v>Cài dead zone, smoothing và volume bounds</x:v>
      </x:c>
      <x:c r="F26" s="12" t="str">
        <x:v>NOT_STARTED</x:v>
      </x:c>
      <x:c r="G26" s="12" t="str">
        <x:v>T-020101, T-020102, T-020103, T-020104, T-020201</x:v>
      </x:c>
      <x:c r="H26" s="12" t="str">
        <x:v>scripts/camera/camera_director.gd</x:v>
      </x:c>
      <x:c r="I26" s="12" t="str">
        <x:v>ARTIFACT_REVIEW, ENGINE_TEST</x:v>
      </x:c>
      <x:c r="J26" s="12" t="str">
        <x:v>L</x:v>
      </x:c>
      <x:c r="K26" s="12" t="str">
        <x:v>reports/tasks/T-020202/evidence.json</x:v>
      </x:c>
      <x:c r="L26" s="12" t="str">
        <x:v>tasks/T-020202.md</x:v>
      </x:c>
      <x:c r="M26" s="12" t="str">
        <x:v>none</x:v>
      </x:c>
    </x:row>
    <x:row r="27" ht="58" customHeight="1">
      <x:c r="A27" s="12" t="str">
        <x:v>T-020203</x:v>
      </x:c>
      <x:c r="B27" s="12" t="str">
        <x:v>S02</x:v>
      </x:c>
      <x:c r="C27" s="12" t="str">
        <x:v>ST-0202</x:v>
      </x:c>
      <x:c r="D27" s="12" t="str">
        <x:v>QA_AGENT</x:v>
      </x:c>
      <x:c r="E27" s="12" t="str">
        <x:v>Thử hai camera zone và chuyển blend</x:v>
      </x:c>
      <x:c r="F27" s="12" t="str">
        <x:v>NOT_STARTED</x:v>
      </x:c>
      <x:c r="G27" s="12" t="str">
        <x:v>T-020101, T-020102, T-020103, T-020104, T-020202</x:v>
      </x:c>
      <x:c r="H27" s="12" t="str">
        <x:v>scenes/tests/camera_corridor.tscn</x:v>
      </x:c>
      <x:c r="I27" s="12" t="str">
        <x:v>ARTIFACT_REVIEW, ENGINE_TEST, RENDERED_RUNTIME</x:v>
      </x:c>
      <x:c r="J27" s="12" t="str">
        <x:v>M</x:v>
      </x:c>
      <x:c r="K27" s="12" t="str">
        <x:v>reports/tasks/T-020203/evidence.json</x:v>
      </x:c>
      <x:c r="L27" s="12" t="str">
        <x:v>tasks/T-020203.md</x:v>
      </x:c>
      <x:c r="M27" s="12" t="str">
        <x:v>none</x:v>
      </x:c>
    </x:row>
    <x:row r="28" ht="58" customHeight="1">
      <x:c r="A28" s="12" t="str">
        <x:v>T-020204</x:v>
      </x:c>
      <x:c r="B28" s="12" t="str">
        <x:v>S02</x:v>
      </x:c>
      <x:c r="C28" s="12" t="str">
        <x:v>ST-0202</x:v>
      </x:c>
      <x:c r="D28" s="12" t="str">
        <x:v>GAMEPLAY_AGENT</x:v>
      </x:c>
      <x:c r="E28" s="12" t="str">
        <x:v>Kiểm tra 16:9, 16:10 và ultrawide</x:v>
      </x:c>
      <x:c r="F28" s="12" t="str">
        <x:v>NOT_STARTED</x:v>
      </x:c>
      <x:c r="G28" s="12" t="str">
        <x:v>T-020101, T-020102, T-020103, T-020104, T-020203</x:v>
      </x:c>
      <x:c r="H28" s="12" t="str">
        <x:v>reports/S02/camera_frames.md</x:v>
      </x:c>
      <x:c r="I28" s="12" t="str">
        <x:v>ARTIFACT_REVIEW, ENGINE_TEST</x:v>
      </x:c>
      <x:c r="J28" s="12" t="str">
        <x:v>S</x:v>
      </x:c>
      <x:c r="K28" s="12" t="str">
        <x:v>reports/tasks/T-020204/evidence.json</x:v>
      </x:c>
      <x:c r="L28" s="12" t="str">
        <x:v>tasks/T-020204.md</x:v>
      </x:c>
      <x:c r="M28" s="12" t="str">
        <x:v>none</x:v>
      </x:c>
    </x:row>
    <x:row r="29" ht="58" customHeight="1">
      <x:c r="A29" s="12" t="str">
        <x:v>T-020301</x:v>
      </x:c>
      <x:c r="B29" s="12" t="str">
        <x:v>S02</x:v>
      </x:c>
      <x:c r="C29" s="12" t="str">
        <x:v>ST-0203</x:v>
      </x:c>
      <x:c r="D29" s="12" t="str">
        <x:v>ART_AGENT</x:v>
      </x:c>
      <x:c r="E29" s="12" t="str">
        <x:v>Dựng blockout nhà Việt và hành lang 4m</x:v>
      </x:c>
      <x:c r="F29" s="12" t="str">
        <x:v>NOT_STARTED</x:v>
      </x:c>
      <x:c r="G29" s="12" t="str">
        <x:v>T-010401, T-010402, T-010403, T-010404</x:v>
      </x:c>
      <x:c r="H29" s="12" t="str">
        <x:v>art/source/blockout_street.blend</x:v>
      </x:c>
      <x:c r="I29" s="12" t="str">
        <x:v>ARTIFACT_REVIEW, RENDERED_RUNTIME</x:v>
      </x:c>
      <x:c r="J29" s="12" t="str">
        <x:v>L</x:v>
      </x:c>
      <x:c r="K29" s="12" t="str">
        <x:v>reports/tasks/T-020301/evidence.json</x:v>
      </x:c>
      <x:c r="L29" s="12" t="str">
        <x:v>tasks/T-020301.md</x:v>
      </x:c>
      <x:c r="M29" s="12" t="str">
        <x:v>none</x:v>
      </x:c>
    </x:row>
    <x:row r="30" ht="58" customHeight="1">
      <x:c r="A30" s="12" t="str">
        <x:v>T-020302</x:v>
      </x:c>
      <x:c r="B30" s="12" t="str">
        <x:v>S02</x:v>
      </x:c>
      <x:c r="C30" s="12" t="str">
        <x:v>ST-0203</x:v>
      </x:c>
      <x:c r="D30" s="12" t="str">
        <x:v>ART_AGENT</x:v>
      </x:c>
      <x:c r="E30" s="12" t="str">
        <x:v>Tạo các module rào/tường/cửa tái sử dụng</x:v>
      </x:c>
      <x:c r="F30" s="12" t="str">
        <x:v>NOT_STARTED</x:v>
      </x:c>
      <x:c r="G30" s="12" t="str">
        <x:v>T-010401, T-010402, T-010403, T-010404, T-020301</x:v>
      </x:c>
      <x:c r="H30" s="12" t="str">
        <x:v>art/export/blockout/*.glb</x:v>
      </x:c>
      <x:c r="I30" s="12" t="str">
        <x:v>ARTIFACT_REVIEW, RENDERED_RUNTIME</x:v>
      </x:c>
      <x:c r="J30" s="12" t="str">
        <x:v>L</x:v>
      </x:c>
      <x:c r="K30" s="12" t="str">
        <x:v>reports/tasks/T-020302/evidence.json</x:v>
      </x:c>
      <x:c r="L30" s="12" t="str">
        <x:v>tasks/T-020302.md</x:v>
      </x:c>
      <x:c r="M30" s="12" t="str">
        <x:v>none</x:v>
      </x:c>
    </x:row>
    <x:row r="31" ht="58" customHeight="1">
      <x:c r="A31" s="12" t="str">
        <x:v>T-020303</x:v>
      </x:c>
      <x:c r="B31" s="12" t="str">
        <x:v>S02</x:v>
      </x:c>
      <x:c r="C31" s="12" t="str">
        <x:v>ST-0203</x:v>
      </x:c>
      <x:c r="D31" s="12" t="str">
        <x:v>ART_AGENT</x:v>
      </x:c>
      <x:c r="E31" s="12" t="str">
        <x:v>Soạn art bible silhouette và vật liệu mẫu</x:v>
      </x:c>
      <x:c r="F31" s="12" t="str">
        <x:v>NOT_STARTED</x:v>
      </x:c>
      <x:c r="G31" s="12" t="str">
        <x:v>T-010401, T-010402, T-010403, T-010404, T-020302</x:v>
      </x:c>
      <x:c r="H31" s="12" t="str">
        <x:v>docs/art/art_bible.md</x:v>
      </x:c>
      <x:c r="I31" s="12" t="str">
        <x:v>ARTIFACT_REVIEW, RENDERED_RUNTIME</x:v>
      </x:c>
      <x:c r="J31" s="12" t="str">
        <x:v>L</x:v>
      </x:c>
      <x:c r="K31" s="12" t="str">
        <x:v>reports/tasks/T-020303/evidence.json</x:v>
      </x:c>
      <x:c r="L31" s="12" t="str">
        <x:v>tasks/T-020303.md</x:v>
      </x:c>
      <x:c r="M31" s="12" t="str">
        <x:v>none</x:v>
      </x:c>
    </x:row>
    <x:row r="32" ht="58" customHeight="1">
      <x:c r="A32" s="12" t="str">
        <x:v>T-020304</x:v>
      </x:c>
      <x:c r="B32" s="12" t="str">
        <x:v>S02</x:v>
      </x:c>
      <x:c r="C32" s="12" t="str">
        <x:v>ST-0203</x:v>
      </x:c>
      <x:c r="D32" s="12" t="str">
        <x:v>QA_AGENT</x:v>
      </x:c>
      <x:c r="E32" s="12" t="str">
        <x:v>Import và kiểm tra kit trong camera thật</x:v>
      </x:c>
      <x:c r="F32" s="12" t="str">
        <x:v>NOT_STARTED</x:v>
      </x:c>
      <x:c r="G32" s="12" t="str">
        <x:v>T-010401, T-010402, T-010403, T-010404, T-020303</x:v>
      </x:c>
      <x:c r="H32" s="12" t="str">
        <x:v>scenes/tests/art_scale_lab.tscn</x:v>
      </x:c>
      <x:c r="I32" s="12" t="str">
        <x:v>ARTIFACT_REVIEW, ENGINE_TEST, RENDERED_RUNTIME</x:v>
      </x:c>
      <x:c r="J32" s="12" t="str">
        <x:v>M</x:v>
      </x:c>
      <x:c r="K32" s="12" t="str">
        <x:v>reports/tasks/T-020304/evidence.json</x:v>
      </x:c>
      <x:c r="L32" s="12" t="str">
        <x:v>tasks/T-020304.md</x:v>
      </x:c>
      <x:c r="M32" s="12" t="str">
        <x:v>none</x:v>
      </x:c>
    </x:row>
    <x:row r="33" ht="58" customHeight="1">
      <x:c r="A33" s="12" t="str">
        <x:v>T-020401</x:v>
      </x:c>
      <x:c r="B33" s="12" t="str">
        <x:v>S02</x:v>
      </x:c>
      <x:c r="C33" s="12" t="str">
        <x:v>ST-0204</x:v>
      </x:c>
      <x:c r="D33" s="12" t="str">
        <x:v>QA_AGENT</x:v>
      </x:c>
      <x:c r="E33" s="12" t="str">
        <x:v>Ghép P0_StreetHouse và đường kiểm thử</x:v>
      </x:c>
      <x:c r="F33" s="12" t="str">
        <x:v>NOT_STARTED</x:v>
      </x:c>
      <x:c r="G33" s="12" t="str">
        <x:v>T-020201, T-020202, T-020203, T-020204, T-020301, T-020302, T-020303, T-020304</x:v>
      </x:c>
      <x:c r="H33" s="12" t="str">
        <x:v>scenes/levels/p0_street_house.tscn</x:v>
      </x:c>
      <x:c r="I33" s="12" t="str">
        <x:v>ARTIFACT_REVIEW, ENGINE_TEST, RENDERED_RUNTIME</x:v>
      </x:c>
      <x:c r="J33" s="12" t="str">
        <x:v>L</x:v>
      </x:c>
      <x:c r="K33" s="12" t="str">
        <x:v>reports/tasks/T-020401/evidence.json</x:v>
      </x:c>
      <x:c r="L33" s="12" t="str">
        <x:v>tasks/T-020401.md</x:v>
      </x:c>
      <x:c r="M33" s="12" t="str">
        <x:v>none</x:v>
      </x:c>
    </x:row>
    <x:row r="34" ht="58" customHeight="1">
      <x:c r="A34" s="12" t="str">
        <x:v>T-020402</x:v>
      </x:c>
      <x:c r="B34" s="12" t="str">
        <x:v>S02</x:v>
      </x:c>
      <x:c r="C34" s="12" t="str">
        <x:v>ST-0204</x:v>
      </x:c>
      <x:c r="D34" s="12" t="str">
        <x:v>QA_AGENT</x:v>
      </x:c>
      <x:c r="E34" s="12" t="str">
        <x:v>Tạo overlay đo và lưu cấu hình máy</x:v>
      </x:c>
      <x:c r="F34" s="12" t="str">
        <x:v>NOT_STARTED</x:v>
      </x:c>
      <x:c r="G34" s="12" t="str">
        <x:v>T-020201, T-020202, T-020203, T-020204, T-020301, T-020302, T-020303, T-020304, T-020401</x:v>
      </x:c>
      <x:c r="H34" s="12" t="str">
        <x:v>scripts/debug/debug_overlay.gd</x:v>
      </x:c>
      <x:c r="I34" s="12" t="str">
        <x:v>ARTIFACT_REVIEW, ENGINE_TEST, RENDERED_RUNTIME</x:v>
      </x:c>
      <x:c r="J34" s="12" t="str">
        <x:v>M</x:v>
      </x:c>
      <x:c r="K34" s="12" t="str">
        <x:v>reports/tasks/T-020402/evidence.json</x:v>
      </x:c>
      <x:c r="L34" s="12" t="str">
        <x:v>tasks/T-020402.md</x:v>
      </x:c>
      <x:c r="M34" s="12" t="str">
        <x:v>none</x:v>
      </x:c>
    </x:row>
    <x:row r="35" ht="58" customHeight="1">
      <x:c r="A35" s="12" t="str">
        <x:v>T-020403</x:v>
      </x:c>
      <x:c r="B35" s="12" t="str">
        <x:v>S02</x:v>
      </x:c>
      <x:c r="C35" s="12" t="str">
        <x:v>ST-0204</x:v>
      </x:c>
      <x:c r="D35" s="12" t="str">
        <x:v>QA_AGENT</x:v>
      </x:c>
      <x:c r="E35" s="12" t="str">
        <x:v>Chạy traversal và ghi vấn đề UX</x:v>
      </x:c>
      <x:c r="F35" s="12" t="str">
        <x:v>NOT_STARTED</x:v>
      </x:c>
      <x:c r="G35" s="12" t="str">
        <x:v>T-020201, T-020202, T-020203, T-020204, T-020301, T-020302, T-020303, T-020304, T-020402</x:v>
      </x:c>
      <x:c r="H35" s="12" t="str">
        <x:v>reports/S02/traversal_playtest.md</x:v>
      </x:c>
      <x:c r="I35" s="12" t="str">
        <x:v>ARTIFACT_REVIEW, ENGINE_TEST, RENDERED_RUNTIME</x:v>
      </x:c>
      <x:c r="J35" s="12" t="str">
        <x:v>M</x:v>
      </x:c>
      <x:c r="K35" s="12" t="str">
        <x:v>reports/tasks/T-020403/evidence.json</x:v>
      </x:c>
      <x:c r="L35" s="12" t="str">
        <x:v>tasks/T-020403.md</x:v>
      </x:c>
      <x:c r="M35" s="12" t="str">
        <x:v>none</x:v>
      </x:c>
    </x:row>
    <x:row r="36" ht="58" customHeight="1">
      <x:c r="A36" s="12" t="str">
        <x:v>T-020404</x:v>
      </x:c>
      <x:c r="B36" s="12" t="str">
        <x:v>S02</x:v>
      </x:c>
      <x:c r="C36" s="12" t="str">
        <x:v>ST-0204</x:v>
      </x:c>
      <x:c r="D36" s="12" t="str">
        <x:v>ORCHESTRATOR</x:v>
      </x:c>
      <x:c r="E36" s="12" t="str">
        <x:v>Review Sprint và đánh giá lại độ phức tạp S03–S04</x:v>
      </x:c>
      <x:c r="F36" s="12" t="str">
        <x:v>NOT_STARTED</x:v>
      </x:c>
      <x:c r="G36" s="12" t="str">
        <x:v>T-020201, T-020202, T-020203, T-020204, T-020301, T-020302, T-020303, T-020304, T-020403</x:v>
      </x:c>
      <x:c r="H36" s="12" t="str">
        <x:v>reports/S02/review.md</x:v>
      </x:c>
      <x:c r="I36" s="12" t="str">
        <x:v>ARTIFACT_REVIEW</x:v>
      </x:c>
      <x:c r="J36" s="12" t="str">
        <x:v>S</x:v>
      </x:c>
      <x:c r="K36" s="12" t="str">
        <x:v>reports/tasks/T-020404/evidence.json</x:v>
      </x:c>
      <x:c r="L36" s="12" t="str">
        <x:v>tasks/T-020404.md</x:v>
      </x:c>
      <x:c r="M36" s="12" t="str">
        <x:v>none</x:v>
      </x:c>
    </x:row>
    <x:row r="37" ht="58" customHeight="1">
      <x:c r="A37" s="12" t="str">
        <x:v>T-030101</x:v>
      </x:c>
      <x:c r="B37" s="12" t="str">
        <x:v>S03</x:v>
      </x:c>
      <x:c r="C37" s="12" t="str">
        <x:v>ST-0301</x:v>
      </x:c>
      <x:c r="D37" s="12" t="str">
        <x:v>GAMEPLAY_AGENT</x:v>
      </x:c>
      <x:c r="E37" s="12" t="str">
        <x:v>Tạo world root và quy ước layer/mask</x:v>
      </x:c>
      <x:c r="F37" s="12" t="str">
        <x:v>NOT_STARTED</x:v>
      </x:c>
      <x:c r="G37" s="12" t="str">
        <x:v>T-020401, T-020402, T-020403, T-020404</x:v>
      </x:c>
      <x:c r="H37" s="12" t="str">
        <x:v>scripts/world/world_phase.gd; docs/collision_layers.md</x:v>
      </x:c>
      <x:c r="I37" s="12" t="str">
        <x:v>ARTIFACT_REVIEW, ENGINE_TEST</x:v>
      </x:c>
      <x:c r="J37" s="12" t="str">
        <x:v>M</x:v>
      </x:c>
      <x:c r="K37" s="12" t="str">
        <x:v>reports/tasks/T-030101/evidence.json</x:v>
      </x:c>
      <x:c r="L37" s="12" t="str">
        <x:v>tasks/T-030101.md</x:v>
      </x:c>
      <x:c r="M37" s="12" t="str">
        <x:v>none</x:v>
      </x:c>
    </x:row>
    <x:row r="38" ht="58" customHeight="1">
      <x:c r="A38" s="12" t="str">
        <x:v>T-030102</x:v>
      </x:c>
      <x:c r="B38" s="12" t="str">
        <x:v>S03</x:v>
      </x:c>
      <x:c r="C38" s="12" t="str">
        <x:v>ST-0301</x:v>
      </x:c>
      <x:c r="D38" s="12" t="str">
        <x:v>GAMEPLAY_AGENT</x:v>
      </x:c>
      <x:c r="E38" s="12" t="str">
        <x:v>Implement request/validate/commit/unlock</x:v>
      </x:c>
      <x:c r="F38" s="12" t="str">
        <x:v>NOT_STARTED</x:v>
      </x:c>
      <x:c r="G38" s="12" t="str">
        <x:v>T-020401, T-020402, T-020403, T-020404, T-030101</x:v>
      </x:c>
      <x:c r="H38" s="12" t="str">
        <x:v>scripts/world/world_controller.gd</x:v>
      </x:c>
      <x:c r="I38" s="12" t="str">
        <x:v>ARTIFACT_REVIEW, ENGINE_TEST</x:v>
      </x:c>
      <x:c r="J38" s="12" t="str">
        <x:v>L</x:v>
      </x:c>
      <x:c r="K38" s="12" t="str">
        <x:v>reports/tasks/T-030102/evidence.json</x:v>
      </x:c>
      <x:c r="L38" s="12" t="str">
        <x:v>tasks/T-030102.md</x:v>
      </x:c>
      <x:c r="M38" s="12" t="str">
        <x:v>none</x:v>
      </x:c>
    </x:row>
    <x:row r="39" ht="58" customHeight="1">
      <x:c r="A39" s="12" t="str">
        <x:v>T-030103</x:v>
      </x:c>
      <x:c r="B39" s="12" t="str">
        <x:v>S03</x:v>
      </x:c>
      <x:c r="C39" s="12" t="str">
        <x:v>ST-0301</x:v>
      </x:c>
      <x:c r="D39" s="12" t="str">
        <x:v>GAMEPLAY_AGENT</x:v>
      </x:c>
      <x:c r="E39" s="12" t="str">
        <x:v>Đồng bộ render, audio stub và prompt bằng event</x:v>
      </x:c>
      <x:c r="F39" s="12" t="str">
        <x:v>NOT_STARTED</x:v>
      </x:c>
      <x:c r="G39" s="12" t="str">
        <x:v>T-020401, T-020402, T-020403, T-020404, T-030102</x:v>
      </x:c>
      <x:c r="H39" s="12" t="str">
        <x:v>scenes/levels/p0_street_house.tscn</x:v>
      </x:c>
      <x:c r="I39" s="12" t="str">
        <x:v>ARTIFACT_REVIEW, ENGINE_TEST</x:v>
      </x:c>
      <x:c r="J39" s="12" t="str">
        <x:v>M</x:v>
      </x:c>
      <x:c r="K39" s="12" t="str">
        <x:v>reports/tasks/T-030103/evidence.json</x:v>
      </x:c>
      <x:c r="L39" s="12" t="str">
        <x:v>tasks/T-030103.md</x:v>
      </x:c>
      <x:c r="M39" s="12" t="str">
        <x:v>none</x:v>
      </x:c>
    </x:row>
    <x:row r="40" ht="58" customHeight="1">
      <x:c r="A40" s="12" t="str">
        <x:v>T-030104</x:v>
      </x:c>
      <x:c r="B40" s="12" t="str">
        <x:v>S03</x:v>
      </x:c>
      <x:c r="C40" s="12" t="str">
        <x:v>ST-0301</x:v>
      </x:c>
      <x:c r="D40" s="12" t="str">
        <x:v>QA_AGENT</x:v>
      </x:c>
      <x:c r="E40" s="12" t="str">
        <x:v>Test reentrant input và pause khi đang switch</x:v>
      </x:c>
      <x:c r="F40" s="12" t="str">
        <x:v>NOT_STARTED</x:v>
      </x:c>
      <x:c r="G40" s="12" t="str">
        <x:v>T-020401, T-020402, T-020403, T-020404, T-030103</x:v>
      </x:c>
      <x:c r="H40" s="12" t="str">
        <x:v>tests/world/test_world_transaction.gd</x:v>
      </x:c>
      <x:c r="I40" s="12" t="str">
        <x:v>ARTIFACT_REVIEW, ENGINE_TEST, RENDERED_RUNTIME</x:v>
      </x:c>
      <x:c r="J40" s="12" t="str">
        <x:v>S</x:v>
      </x:c>
      <x:c r="K40" s="12" t="str">
        <x:v>reports/tasks/T-030104/evidence.json</x:v>
      </x:c>
      <x:c r="L40" s="12" t="str">
        <x:v>tasks/T-030104.md</x:v>
      </x:c>
      <x:c r="M40" s="12" t="str">
        <x:v>none</x:v>
      </x:c>
    </x:row>
    <x:row r="41" ht="58" customHeight="1">
      <x:c r="A41" s="12" t="str">
        <x:v>T-030201</x:v>
      </x:c>
      <x:c r="B41" s="12" t="str">
        <x:v>S03</x:v>
      </x:c>
      <x:c r="C41" s="12" t="str">
        <x:v>ST-0302</x:v>
      </x:c>
      <x:c r="D41" s="12" t="str">
        <x:v>GAMEPLAY_AGENT</x:v>
      </x:c>
      <x:c r="E41" s="12" t="str">
        <x:v>Query capsule ở world đích và loại player RID</x:v>
      </x:c>
      <x:c r="F41" s="12" t="str">
        <x:v>NOT_STARTED</x:v>
      </x:c>
      <x:c r="G41" s="12" t="str">
        <x:v>T-030101, T-030102, T-030103, T-030104</x:v>
      </x:c>
      <x:c r="H41" s="12" t="str">
        <x:v>scripts/world/switch_safety.gd</x:v>
      </x:c>
      <x:c r="I41" s="12" t="str">
        <x:v>ARTIFACT_REVIEW, ENGINE_TEST</x:v>
      </x:c>
      <x:c r="J41" s="12" t="str">
        <x:v>L</x:v>
      </x:c>
      <x:c r="K41" s="12" t="str">
        <x:v>reports/tasks/T-030201/evidence.json</x:v>
      </x:c>
      <x:c r="L41" s="12" t="str">
        <x:v>tasks/T-030201.md</x:v>
      </x:c>
      <x:c r="M41" s="12" t="str">
        <x:v>none</x:v>
      </x:c>
    </x:row>
    <x:row r="42" ht="58" customHeight="1">
      <x:c r="A42" s="12" t="str">
        <x:v>T-030202</x:v>
      </x:c>
      <x:c r="B42" s="12" t="str">
        <x:v>S03</x:v>
      </x:c>
      <x:c r="C42" s="12" t="str">
        <x:v>ST-0302</x:v>
      </x:c>
      <x:c r="D42" s="12" t="str">
        <x:v>RELEASE_AGENT</x:v>
      </x:c>
      <x:c r="E42" s="12" t="str">
        <x:v>Kiểm tra support/floor và vị trí mép sàn</x:v>
      </x:c>
      <x:c r="F42" s="12" t="str">
        <x:v>NOT_STARTED</x:v>
      </x:c>
      <x:c r="G42" s="12" t="str">
        <x:v>T-030101, T-030102, T-030103, T-030104, T-030201</x:v>
      </x:c>
      <x:c r="H42" s="12" t="str">
        <x:v>scenes/tests/switch_safety_lab.tscn</x:v>
      </x:c>
      <x:c r="I42" s="12" t="str">
        <x:v>ARTIFACT_REVIEW</x:v>
      </x:c>
      <x:c r="J42" s="12" t="str">
        <x:v>L</x:v>
      </x:c>
      <x:c r="K42" s="12" t="str">
        <x:v>reports/tasks/T-030202/evidence.json</x:v>
      </x:c>
      <x:c r="L42" s="12" t="str">
        <x:v>tasks/T-030202.md</x:v>
      </x:c>
      <x:c r="M42" s="12" t="str">
        <x:v>none</x:v>
      </x:c>
    </x:row>
    <x:row r="43" ht="58" customHeight="1">
      <x:c r="A43" s="12" t="str">
        <x:v>T-030203</x:v>
      </x:c>
      <x:c r="B43" s="12" t="str">
        <x:v>S03</x:v>
      </x:c>
      <x:c r="C43" s="12" t="str">
        <x:v>ST-0302</x:v>
      </x:c>
      <x:c r="D43" s="12" t="str">
        <x:v>GAMEPLAY_AGENT</x:v>
      </x:c>
      <x:c r="E43" s="12" t="str">
        <x:v>Định nghĩa valid switch zones và reason codes</x:v>
      </x:c>
      <x:c r="F43" s="12" t="str">
        <x:v>NOT_STARTED</x:v>
      </x:c>
      <x:c r="G43" s="12" t="str">
        <x:v>T-030101, T-030102, T-030103, T-030104, T-030202</x:v>
      </x:c>
      <x:c r="H43" s="12" t="str">
        <x:v>data/world/switch_rules.tres</x:v>
      </x:c>
      <x:c r="I43" s="12" t="str">
        <x:v>ARTIFACT_REVIEW, ENGINE_TEST</x:v>
      </x:c>
      <x:c r="J43" s="12" t="str">
        <x:v>M</x:v>
      </x:c>
      <x:c r="K43" s="12" t="str">
        <x:v>reports/tasks/T-030203/evidence.json</x:v>
      </x:c>
      <x:c r="L43" s="12" t="str">
        <x:v>tasks/T-030203.md</x:v>
      </x:c>
      <x:c r="M43" s="12" t="str">
        <x:v>none</x:v>
      </x:c>
    </x:row>
    <x:row r="44" ht="58" customHeight="1">
      <x:c r="A44" s="12" t="str">
        <x:v>T-030204</x:v>
      </x:c>
      <x:c r="B44" s="12" t="str">
        <x:v>S03</x:v>
      </x:c>
      <x:c r="C44" s="12" t="str">
        <x:v>ST-0302</x:v>
      </x:c>
      <x:c r="D44" s="12" t="str">
        <x:v>QA_AGENT</x:v>
      </x:c>
      <x:c r="E44" s="12" t="str">
        <x:v>Chạy ma trận cạnh rào và cạnh cửa</x:v>
      </x:c>
      <x:c r="F44" s="12" t="str">
        <x:v>NOT_STARTED</x:v>
      </x:c>
      <x:c r="G44" s="12" t="str">
        <x:v>T-030101, T-030102, T-030103, T-030104, T-030203</x:v>
      </x:c>
      <x:c r="H44" s="12" t="str">
        <x:v>reports/S03/safety_matrix.md</x:v>
      </x:c>
      <x:c r="I44" s="12" t="str">
        <x:v>ARTIFACT_REVIEW, ENGINE_TEST, RENDERED_RUNTIME</x:v>
      </x:c>
      <x:c r="J44" s="12" t="str">
        <x:v>S</x:v>
      </x:c>
      <x:c r="K44" s="12" t="str">
        <x:v>reports/tasks/T-030204/evidence.json</x:v>
      </x:c>
      <x:c r="L44" s="12" t="str">
        <x:v>tasks/T-030204.md</x:v>
      </x:c>
      <x:c r="M44" s="12" t="str">
        <x:v>none</x:v>
      </x:c>
    </x:row>
    <x:row r="45" ht="58" customHeight="1">
      <x:c r="A45" s="12" t="str">
        <x:v>T-030301</x:v>
      </x:c>
      <x:c r="B45" s="12" t="str">
        <x:v>S03</x:v>
      </x:c>
      <x:c r="C45" s="12" t="str">
        <x:v>ST-0303</x:v>
      </x:c>
      <x:c r="D45" s="12" t="str">
        <x:v>ART_AGENT</x:v>
      </x:c>
      <x:c r="E45" s="12" t="str">
        <x:v>Tạo material test REAL/ERASED cho cùng module</x:v>
      </x:c>
      <x:c r="F45" s="12" t="str">
        <x:v>NOT_STARTED</x:v>
      </x:c>
      <x:c r="G45" s="12" t="str">
        <x:v>T-020301, T-020302, T-020303, T-020304, T-030101, T-030102, T-030103, T-030104</x:v>
      </x:c>
      <x:c r="H45" s="12" t="str">
        <x:v>art/materials/phase_test/</x:v>
      </x:c>
      <x:c r="I45" s="12" t="str">
        <x:v>ARTIFACT_REVIEW, RENDERED_RUNTIME</x:v>
      </x:c>
      <x:c r="J45" s="12" t="str">
        <x:v>L</x:v>
      </x:c>
      <x:c r="K45" s="12" t="str">
        <x:v>reports/tasks/T-030301/evidence.json</x:v>
      </x:c>
      <x:c r="L45" s="12" t="str">
        <x:v>tasks/T-030301.md</x:v>
      </x:c>
      <x:c r="M45" s="12" t="str">
        <x:v>none</x:v>
      </x:c>
    </x:row>
    <x:row r="46" ht="58" customHeight="1">
      <x:c r="A46" s="12" t="str">
        <x:v>T-030302</x:v>
      </x:c>
      <x:c r="B46" s="12" t="str">
        <x:v>S03</x:v>
      </x:c>
      <x:c r="C46" s="12" t="str">
        <x:v>ST-0303</x:v>
      </x:c>
      <x:c r="D46" s="12" t="str">
        <x:v>ART_AGENT</x:v>
      </x:c>
      <x:c r="E46" s="12" t="str">
        <x:v>Dựng nhà chỉ tồn tại ở ERASED và rào REAL</x:v>
      </x:c>
      <x:c r="F46" s="12" t="str">
        <x:v>NOT_STARTED</x:v>
      </x:c>
      <x:c r="G46" s="12" t="str">
        <x:v>T-020301, T-020302, T-020303, T-020304, T-030101, T-030102, T-030103, T-030104, T-030301</x:v>
      </x:c>
      <x:c r="H46" s="12" t="str">
        <x:v>art/export/p0_phase_variants/</x:v>
      </x:c>
      <x:c r="I46" s="12" t="str">
        <x:v>ARTIFACT_REVIEW, RENDERED_RUNTIME</x:v>
      </x:c>
      <x:c r="J46" s="12" t="str">
        <x:v>L</x:v>
      </x:c>
      <x:c r="K46" s="12" t="str">
        <x:v>reports/tasks/T-030302/evidence.json</x:v>
      </x:c>
      <x:c r="L46" s="12" t="str">
        <x:v>tasks/T-030302.md</x:v>
      </x:c>
      <x:c r="M46" s="12" t="str">
        <x:v>none</x:v>
      </x:c>
    </x:row>
    <x:row r="47" ht="58" customHeight="1">
      <x:c r="A47" s="12" t="str">
        <x:v>T-030303</x:v>
      </x:c>
      <x:c r="B47" s="12" t="str">
        <x:v>S03</x:v>
      </x:c>
      <x:c r="C47" s="12" t="str">
        <x:v>ST-0303</x:v>
      </x:c>
      <x:c r="D47" s="12" t="str">
        <x:v>AUDIO_AGENT</x:v>
      </x:c>
      <x:c r="E47" s="12" t="str">
        <x:v>Tạo sound cue switch và ambience placeholder sạch quyền</x:v>
      </x:c>
      <x:c r="F47" s="12" t="str">
        <x:v>NOT_STARTED</x:v>
      </x:c>
      <x:c r="G47" s="12" t="str">
        <x:v>T-020301, T-020302, T-020303, T-020304, T-030101, T-030102, T-030103, T-030104, T-030302</x:v>
      </x:c>
      <x:c r="H47" s="12" t="str">
        <x:v>audio/prototype/; docs/licenses.csv</x:v>
      </x:c>
      <x:c r="I47" s="12" t="str">
        <x:v>ARTIFACT_REVIEW, AUDIO_REVIEW</x:v>
      </x:c>
      <x:c r="J47" s="12" t="str">
        <x:v>L</x:v>
      </x:c>
      <x:c r="K47" s="12" t="str">
        <x:v>reports/tasks/T-030303/evidence.json</x:v>
      </x:c>
      <x:c r="L47" s="12" t="str">
        <x:v>tasks/T-030303.md</x:v>
      </x:c>
      <x:c r="M47" s="12" t="str">
        <x:v>none</x:v>
      </x:c>
    </x:row>
    <x:row r="48" ht="58" customHeight="1">
      <x:c r="A48" s="12" t="str">
        <x:v>T-030304</x:v>
      </x:c>
      <x:c r="B48" s="12" t="str">
        <x:v>S03</x:v>
      </x:c>
      <x:c r="C48" s="12" t="str">
        <x:v>ST-0303</x:v>
      </x:c>
      <x:c r="D48" s="12" t="str">
        <x:v>GAMEPLAY_AGENT</x:v>
      </x:c>
      <x:c r="E48" s="12" t="str">
        <x:v>Ghép WorldEnvironment và HUD phase</x:v>
      </x:c>
      <x:c r="F48" s="12" t="str">
        <x:v>NOT_STARTED</x:v>
      </x:c>
      <x:c r="G48" s="12" t="str">
        <x:v>T-020301, T-020302, T-020303, T-020304, T-030101, T-030102, T-030103, T-030104, T-030303</x:v>
      </x:c>
      <x:c r="H48" s="12" t="str">
        <x:v>scenes/ui/world_indicator.tscn</x:v>
      </x:c>
      <x:c r="I48" s="12" t="str">
        <x:v>ARTIFACT_REVIEW, ENGINE_TEST</x:v>
      </x:c>
      <x:c r="J48" s="12" t="str">
        <x:v>M</x:v>
      </x:c>
      <x:c r="K48" s="12" t="str">
        <x:v>reports/tasks/T-030304/evidence.json</x:v>
      </x:c>
      <x:c r="L48" s="12" t="str">
        <x:v>tasks/T-030304.md</x:v>
      </x:c>
      <x:c r="M48" s="12" t="str">
        <x:v>none</x:v>
      </x:c>
    </x:row>
    <x:row r="49" ht="58" customHeight="1">
      <x:c r="A49" s="12" t="str">
        <x:v>T-030401</x:v>
      </x:c>
      <x:c r="B49" s="12" t="str">
        <x:v>S03</x:v>
      </x:c>
      <x:c r="C49" s="12" t="str">
        <x:v>ST-0304</x:v>
      </x:c>
      <x:c r="D49" s="12" t="str">
        <x:v>QA_AGENT</x:v>
      </x:c>
      <x:c r="E49" s="12" t="str">
        <x:v>Viết state invariant tests và test scene harness</x:v>
      </x:c>
      <x:c r="F49" s="12" t="str">
        <x:v>NOT_STARTED</x:v>
      </x:c>
      <x:c r="G49" s="12" t="str">
        <x:v>T-030201, T-030202, T-030203, T-030204, T-030301, T-030302, T-030303, T-030304</x:v>
      </x:c>
      <x:c r="H49" s="12" t="str">
        <x:v>tests/world/</x:v>
      </x:c>
      <x:c r="I49" s="12" t="str">
        <x:v>ARTIFACT_REVIEW, ENGINE_TEST, RENDERED_RUNTIME</x:v>
      </x:c>
      <x:c r="J49" s="12" t="str">
        <x:v>L</x:v>
      </x:c>
      <x:c r="K49" s="12" t="str">
        <x:v>reports/tasks/T-030401/evidence.json</x:v>
      </x:c>
      <x:c r="L49" s="12" t="str">
        <x:v>tasks/T-030401.md</x:v>
      </x:c>
      <x:c r="M49" s="12" t="str">
        <x:v>none</x:v>
      </x:c>
    </x:row>
    <x:row r="50" ht="58" customHeight="1">
      <x:c r="A50" s="12" t="str">
        <x:v>T-030402</x:v>
      </x:c>
      <x:c r="B50" s="12" t="str">
        <x:v>S03</x:v>
      </x:c>
      <x:c r="C50" s="12" t="str">
        <x:v>ST-0304</x:v>
      </x:c>
      <x:c r="D50" s="12" t="str">
        <x:v>QA_AGENT</x:v>
      </x:c>
      <x:c r="E50" s="12" t="str">
        <x:v>Chạy ma trận runtime có render và stress 100 lần</x:v>
      </x:c>
      <x:c r="F50" s="12" t="str">
        <x:v>NOT_STARTED</x:v>
      </x:c>
      <x:c r="G50" s="12" t="str">
        <x:v>T-030201, T-030202, T-030203, T-030204, T-030301, T-030302, T-030303, T-030304, T-030401</x:v>
      </x:c>
      <x:c r="H50" s="12" t="str">
        <x:v>reports/S03/world_stress.md</x:v>
      </x:c>
      <x:c r="I50" s="12" t="str">
        <x:v>ARTIFACT_REVIEW, ENGINE_TEST, RENDERED_RUNTIME</x:v>
      </x:c>
      <x:c r="J50" s="12" t="str">
        <x:v>M</x:v>
      </x:c>
      <x:c r="K50" s="12" t="str">
        <x:v>reports/tasks/T-030402/evidence.json</x:v>
      </x:c>
      <x:c r="L50" s="12" t="str">
        <x:v>tasks/T-030402.md</x:v>
      </x:c>
      <x:c r="M50" s="12" t="str">
        <x:v>none</x:v>
      </x:c>
    </x:row>
    <x:row r="51" ht="58" customHeight="1">
      <x:c r="A51" s="12" t="str">
        <x:v>T-030403</x:v>
      </x:c>
      <x:c r="B51" s="12" t="str">
        <x:v>S03</x:v>
      </x:c>
      <x:c r="C51" s="12" t="str">
        <x:v>ST-0304</x:v>
      </x:c>
      <x:c r="D51" s="12" t="str">
        <x:v>QA_AGENT</x:v>
      </x:c>
      <x:c r="E51" s="12" t="str">
        <x:v>Sửa lỗi blocking và gắn regression case</x:v>
      </x:c>
      <x:c r="F51" s="12" t="str">
        <x:v>NOT_STARTED</x:v>
      </x:c>
      <x:c r="G51" s="12" t="str">
        <x:v>T-030201, T-030202, T-030203, T-030204, T-030301, T-030302, T-030303, T-030304, T-030402</x:v>
      </x:c>
      <x:c r="H51" s="12" t="str">
        <x:v>reports/S03/bugs.md</x:v>
      </x:c>
      <x:c r="I51" s="12" t="str">
        <x:v>ARTIFACT_REVIEW, ENGINE_TEST, RENDERED_RUNTIME</x:v>
      </x:c>
      <x:c r="J51" s="12" t="str">
        <x:v>M</x:v>
      </x:c>
      <x:c r="K51" s="12" t="str">
        <x:v>reports/tasks/T-030403/evidence.json</x:v>
      </x:c>
      <x:c r="L51" s="12" t="str">
        <x:v>tasks/T-030403.md</x:v>
      </x:c>
      <x:c r="M51" s="12" t="str">
        <x:v>none</x:v>
      </x:c>
    </x:row>
    <x:row r="52" ht="58" customHeight="1">
      <x:c r="A52" s="12" t="str">
        <x:v>T-030404</x:v>
      </x:c>
      <x:c r="B52" s="12" t="str">
        <x:v>S03</x:v>
      </x:c>
      <x:c r="C52" s="12" t="str">
        <x:v>ST-0304</x:v>
      </x:c>
      <x:c r="D52" s="12" t="str">
        <x:v>ORCHESTRATOR</x:v>
      </x:c>
      <x:c r="E52" s="12" t="str">
        <x:v>Đóng sprint và chuẩn bị puzzle graph</x:v>
      </x:c>
      <x:c r="F52" s="12" t="str">
        <x:v>NOT_STARTED</x:v>
      </x:c>
      <x:c r="G52" s="12" t="str">
        <x:v>T-030201, T-030202, T-030203, T-030204, T-030301, T-030302, T-030303, T-030304, T-030403</x:v>
      </x:c>
      <x:c r="H52" s="12" t="str">
        <x:v>reports/S03/review.md</x:v>
      </x:c>
      <x:c r="I52" s="12" t="str">
        <x:v>ARTIFACT_REVIEW</x:v>
      </x:c>
      <x:c r="J52" s="12" t="str">
        <x:v>S</x:v>
      </x:c>
      <x:c r="K52" s="12" t="str">
        <x:v>reports/tasks/T-030404/evidence.json</x:v>
      </x:c>
      <x:c r="L52" s="12" t="str">
        <x:v>tasks/T-030404.md</x:v>
      </x:c>
      <x:c r="M52" s="12" t="str">
        <x:v>none</x:v>
      </x:c>
    </x:row>
    <x:row r="53" ht="58" customHeight="1">
      <x:c r="A53" s="12" t="str">
        <x:v>T-040101</x:v>
      </x:c>
      <x:c r="B53" s="12" t="str">
        <x:v>S04</x:v>
      </x:c>
      <x:c r="C53" s="12" t="str">
        <x:v>ST-0401</x:v>
      </x:c>
      <x:c r="D53" s="12" t="str">
        <x:v>GAMEPLAY_AGENT</x:v>
      </x:c>
      <x:c r="E53" s="12" t="str">
        <x:v>Tạo interaction component và registry cục bộ</x:v>
      </x:c>
      <x:c r="F53" s="12" t="str">
        <x:v>NOT_STARTED</x:v>
      </x:c>
      <x:c r="G53" s="12" t="str">
        <x:v>T-030401, T-030402, T-030403, T-030404</x:v>
      </x:c>
      <x:c r="H53" s="12" t="str">
        <x:v>scripts/interaction/interactable.gd</x:v>
      </x:c>
      <x:c r="I53" s="12" t="str">
        <x:v>ARTIFACT_REVIEW, ENGINE_TEST</x:v>
      </x:c>
      <x:c r="J53" s="12" t="str">
        <x:v>M</x:v>
      </x:c>
      <x:c r="K53" s="12" t="str">
        <x:v>reports/tasks/T-040101/evidence.json</x:v>
      </x:c>
      <x:c r="L53" s="12" t="str">
        <x:v>tasks/T-040101.md</x:v>
      </x:c>
      <x:c r="M53" s="12" t="str">
        <x:v>none</x:v>
      </x:c>
    </x:row>
    <x:row r="54" ht="58" customHeight="1">
      <x:c r="A54" s="12" t="str">
        <x:v>T-040102</x:v>
      </x:c>
      <x:c r="B54" s="12" t="str">
        <x:v>S04</x:v>
      </x:c>
      <x:c r="C54" s="12" t="str">
        <x:v>ST-0401</x:v>
      </x:c>
      <x:c r="D54" s="12" t="str">
        <x:v>GAMEPLAY_AGENT</x:v>
      </x:c>
      <x:c r="E54" s="12" t="str">
        <x:v>Cài range, hướng nhìn và LOS filtering</x:v>
      </x:c>
      <x:c r="F54" s="12" t="str">
        <x:v>NOT_STARTED</x:v>
      </x:c>
      <x:c r="G54" s="12" t="str">
        <x:v>T-030401, T-030402, T-030403, T-030404, T-040101</x:v>
      </x:c>
      <x:c r="H54" s="12" t="str">
        <x:v>scripts/player/interaction_detector.gd</x:v>
      </x:c>
      <x:c r="I54" s="12" t="str">
        <x:v>ARTIFACT_REVIEW, ENGINE_TEST</x:v>
      </x:c>
      <x:c r="J54" s="12" t="str">
        <x:v>L</x:v>
      </x:c>
      <x:c r="K54" s="12" t="str">
        <x:v>reports/tasks/T-040102/evidence.json</x:v>
      </x:c>
      <x:c r="L54" s="12" t="str">
        <x:v>tasks/T-040102.md</x:v>
      </x:c>
      <x:c r="M54" s="12" t="str">
        <x:v>none</x:v>
      </x:c>
    </x:row>
    <x:row r="55" ht="58" customHeight="1">
      <x:c r="A55" s="12" t="str">
        <x:v>T-040103</x:v>
      </x:c>
      <x:c r="B55" s="12" t="str">
        <x:v>S04</x:v>
      </x:c>
      <x:c r="C55" s="12" t="str">
        <x:v>ST-0401</x:v>
      </x:c>
      <x:c r="D55" s="12" t="str">
        <x:v>GAMEPLAY_AGENT</x:v>
      </x:c>
      <x:c r="E55" s="12" t="str">
        <x:v>Implement lantern/key/door/trace adapters</x:v>
      </x:c>
      <x:c r="F55" s="12" t="str">
        <x:v>NOT_STARTED</x:v>
      </x:c>
      <x:c r="G55" s="12" t="str">
        <x:v>T-030401, T-030402, T-030403, T-030404, T-040102</x:v>
      </x:c>
      <x:c r="H55" s="12" t="str">
        <x:v>scenes/interactables/</x:v>
      </x:c>
      <x:c r="I55" s="12" t="str">
        <x:v>ARTIFACT_REVIEW, ENGINE_TEST</x:v>
      </x:c>
      <x:c r="J55" s="12" t="str">
        <x:v>M</x:v>
      </x:c>
      <x:c r="K55" s="12" t="str">
        <x:v>reports/tasks/T-040103/evidence.json</x:v>
      </x:c>
      <x:c r="L55" s="12" t="str">
        <x:v>tasks/T-040103.md</x:v>
      </x:c>
      <x:c r="M55" s="12" t="str">
        <x:v>none</x:v>
      </x:c>
    </x:row>
    <x:row r="56" ht="58" customHeight="1">
      <x:c r="A56" s="12" t="str">
        <x:v>T-040104</x:v>
      </x:c>
      <x:c r="B56" s="12" t="str">
        <x:v>S04</x:v>
      </x:c>
      <x:c r="C56" s="12" t="str">
        <x:v>ST-0401</x:v>
      </x:c>
      <x:c r="D56" s="12" t="str">
        <x:v>QA_AGENT</x:v>
      </x:c>
      <x:c r="E56" s="12" t="str">
        <x:v>Test ở ngoài range và qua vật cản</x:v>
      </x:c>
      <x:c r="F56" s="12" t="str">
        <x:v>NOT_STARTED</x:v>
      </x:c>
      <x:c r="G56" s="12" t="str">
        <x:v>T-030401, T-030402, T-030403, T-030404, T-040103</x:v>
      </x:c>
      <x:c r="H56" s="12" t="str">
        <x:v>tests/interaction/</x:v>
      </x:c>
      <x:c r="I56" s="12" t="str">
        <x:v>ARTIFACT_REVIEW, ENGINE_TEST, RENDERED_RUNTIME</x:v>
      </x:c>
      <x:c r="J56" s="12" t="str">
        <x:v>S</x:v>
      </x:c>
      <x:c r="K56" s="12" t="str">
        <x:v>reports/tasks/T-040104/evidence.json</x:v>
      </x:c>
      <x:c r="L56" s="12" t="str">
        <x:v>tasks/T-040104.md</x:v>
      </x:c>
      <x:c r="M56" s="12" t="str">
        <x:v>none</x:v>
      </x:c>
    </x:row>
    <x:row r="57" ht="58" customHeight="1">
      <x:c r="A57" s="12" t="str">
        <x:v>T-040201</x:v>
      </x:c>
      <x:c r="B57" s="12" t="str">
        <x:v>S04</x:v>
      </x:c>
      <x:c r="C57" s="12" t="str">
        <x:v>ST-0402</x:v>
      </x:c>
      <x:c r="D57" s="12" t="str">
        <x:v>GAMEPLAY_AGENT</x:v>
      </x:c>
      <x:c r="E57" s="12" t="str">
        <x:v>Tạo P0PuzzleController với flags đơn hướng</x:v>
      </x:c>
      <x:c r="F57" s="12" t="str">
        <x:v>NOT_STARTED</x:v>
      </x:c>
      <x:c r="G57" s="12" t="str">
        <x:v>T-040101, T-040102, T-040103, T-040104</x:v>
      </x:c>
      <x:c r="H57" s="12" t="str">
        <x:v>scripts/puzzles/p0_puzzle_controller.gd</x:v>
      </x:c>
      <x:c r="I57" s="12" t="str">
        <x:v>ARTIFACT_REVIEW, ENGINE_TEST</x:v>
      </x:c>
      <x:c r="J57" s="12" t="str">
        <x:v>M</x:v>
      </x:c>
      <x:c r="K57" s="12" t="str">
        <x:v>reports/tasks/T-040201/evidence.json</x:v>
      </x:c>
      <x:c r="L57" s="12" t="str">
        <x:v>tasks/T-040201.md</x:v>
      </x:c>
      <x:c r="M57" s="12" t="str">
        <x:v>none</x:v>
      </x:c>
    </x:row>
    <x:row r="58" ht="58" customHeight="1">
      <x:c r="A58" s="12" t="str">
        <x:v>T-040202</x:v>
      </x:c>
      <x:c r="B58" s="12" t="str">
        <x:v>S04</x:v>
      </x:c>
      <x:c r="C58" s="12" t="str">
        <x:v>ST-0402</x:v>
      </x:c>
      <x:c r="D58" s="12" t="str">
        <x:v>GAMEPLAY_AGENT</x:v>
      </x:c>
      <x:c r="E58" s="12" t="str">
        <x:v>Ghép key/door/trace và route safe switch của fixtureP02</x:v>
      </x:c>
      <x:c r="F58" s="12" t="str">
        <x:v>NOT_STARTED</x:v>
      </x:c>
      <x:c r="G58" s="12" t="str">
        <x:v>T-040101, T-040102, T-040103, T-040104, T-040201</x:v>
      </x:c>
      <x:c r="H58" s="12" t="str">
        <x:v>scenes/levels/p0_street_house.tscn</x:v>
      </x:c>
      <x:c r="I58" s="12" t="str">
        <x:v>ARTIFACT_REVIEW, ENGINE_TEST</x:v>
      </x:c>
      <x:c r="J58" s="12" t="str">
        <x:v>L</x:v>
      </x:c>
      <x:c r="K58" s="12" t="str">
        <x:v>reports/tasks/T-040202/evidence.json</x:v>
      </x:c>
      <x:c r="L58" s="12" t="str">
        <x:v>tasks/T-040202.md</x:v>
      </x:c>
      <x:c r="M58" s="12" t="str">
        <x:v>none</x:v>
      </x:c>
    </x:row>
    <x:row r="59" ht="58" customHeight="1">
      <x:c r="A59" s="12" t="str">
        <x:v>T-040203</x:v>
      </x:c>
      <x:c r="B59" s="12" t="str">
        <x:v>S04</x:v>
      </x:c>
      <x:c r="C59" s="12" t="str">
        <x:v>ST-0402</x:v>
      </x:c>
      <x:c r="D59" s="12" t="str">
        <x:v>GAMEPLAY_AGENT</x:v>
      </x:c>
      <x:c r="E59" s="12" t="str">
        <x:v>Thêm hint theo trạng thái và completion panel</x:v>
      </x:c>
      <x:c r="F59" s="12" t="str">
        <x:v>NOT_STARTED</x:v>
      </x:c>
      <x:c r="G59" s="12" t="str">
        <x:v>T-040101, T-040102, T-040103, T-040104, T-040202</x:v>
      </x:c>
      <x:c r="H59" s="12" t="str">
        <x:v>scenes/ui/prototype_hud.tscn</x:v>
      </x:c>
      <x:c r="I59" s="12" t="str">
        <x:v>ARTIFACT_REVIEW, ENGINE_TEST</x:v>
      </x:c>
      <x:c r="J59" s="12" t="str">
        <x:v>M</x:v>
      </x:c>
      <x:c r="K59" s="12" t="str">
        <x:v>reports/tasks/T-040203/evidence.json</x:v>
      </x:c>
      <x:c r="L59" s="12" t="str">
        <x:v>tasks/T-040203.md</x:v>
      </x:c>
      <x:c r="M59" s="12" t="str">
        <x:v>none</x:v>
      </x:c>
    </x:row>
    <x:row r="60" ht="58" customHeight="1">
      <x:c r="A60" s="12" t="str">
        <x:v>T-040204</x:v>
      </x:c>
      <x:c r="B60" s="12" t="str">
        <x:v>S04</x:v>
      </x:c>
      <x:c r="C60" s="12" t="str">
        <x:v>ST-0402</x:v>
      </x:c>
      <x:c r="D60" s="12" t="str">
        <x:v>QA_AGENT</x:v>
      </x:c>
      <x:c r="E60" s="12" t="str">
        <x:v>Tạo reset/replay và walkthrough test</x:v>
      </x:c>
      <x:c r="F60" s="12" t="str">
        <x:v>NOT_STARTED</x:v>
      </x:c>
      <x:c r="G60" s="12" t="str">
        <x:v>T-040101, T-040102, T-040103, T-040104, T-040203</x:v>
      </x:c>
      <x:c r="H60" s="12" t="str">
        <x:v>reports/S04/puzzle_walkthrough.md</x:v>
      </x:c>
      <x:c r="I60" s="12" t="str">
        <x:v>ARTIFACT_REVIEW, ENGINE_TEST, RENDERED_RUNTIME</x:v>
      </x:c>
      <x:c r="J60" s="12" t="str">
        <x:v>S</x:v>
      </x:c>
      <x:c r="K60" s="12" t="str">
        <x:v>reports/tasks/T-040204/evidence.json</x:v>
      </x:c>
      <x:c r="L60" s="12" t="str">
        <x:v>tasks/T-040204.md</x:v>
      </x:c>
      <x:c r="M60" s="12" t="str">
        <x:v>none</x:v>
      </x:c>
    </x:row>
    <x:row r="61" ht="58" customHeight="1">
      <x:c r="A61" s="12" t="str">
        <x:v>T-040301</x:v>
      </x:c>
      <x:c r="B61" s="12" t="str">
        <x:v>S04</x:v>
      </x:c>
      <x:c r="C61" s="12" t="str">
        <x:v>ST-0403</x:v>
      </x:c>
      <x:c r="D61" s="12" t="str">
        <x:v>NARRATIVE_AGENT</x:v>
      </x:c>
      <x:c r="E61" s="12" t="str">
        <x:v>Tạo kịch bản đánh giá prototype có thể replay</x:v>
      </x:c>
      <x:c r="F61" s="12" t="str">
        <x:v>NOT_STARTED</x:v>
      </x:c>
      <x:c r="G61" s="12" t="str">
        <x:v>T-040201, T-040202, T-040203, T-040204</x:v>
      </x:c>
      <x:c r="H61" s="12" t="str">
        <x:v>reports/S04/playtest_protocol.md; tests/replays/p0_profiles.json</x:v>
      </x:c>
      <x:c r="I61" s="12" t="str">
        <x:v>ARTIFACT_REVIEW</x:v>
      </x:c>
      <x:c r="J61" s="12" t="str">
        <x:v>M</x:v>
      </x:c>
      <x:c r="K61" s="12" t="str">
        <x:v>reports/tasks/T-040301/evidence.json</x:v>
      </x:c>
      <x:c r="L61" s="12" t="str">
        <x:v>tasks/T-040301.md</x:v>
      </x:c>
      <x:c r="M61" s="12" t="str">
        <x:v>none</x:v>
      </x:c>
    </x:row>
    <x:row r="62" ht="58" customHeight="1">
      <x:c r="A62" s="12" t="str">
        <x:v>T-040302</x:v>
      </x:c>
      <x:c r="B62" s="12" t="str">
        <x:v>S04</x:v>
      </x:c>
      <x:c r="C62" s="12" t="str">
        <x:v>ST-0403</x:v>
      </x:c>
      <x:c r="D62" s="12" t="str">
        <x:v>QA_AGENT</x:v>
      </x:c>
      <x:c r="E62" s="12" t="str">
        <x:v>Agent chạy 5 profile P0 trên runtime có render</x:v>
      </x:c>
      <x:c r="F62" s="12" t="str">
        <x:v>NOT_STARTED</x:v>
      </x:c>
      <x:c r="G62" s="12" t="str">
        <x:v>T-040201, T-040202, T-040203, T-040204, T-040301</x:v>
      </x:c>
      <x:c r="H62" s="12" t="str">
        <x:v>reports/S04/playtest_raw.csv</x:v>
      </x:c>
      <x:c r="I62" s="12" t="str">
        <x:v>ARTIFACT_REVIEW, ENGINE_TEST, RENDERED_RUNTIME</x:v>
      </x:c>
      <x:c r="J62" s="12" t="str">
        <x:v>L</x:v>
      </x:c>
      <x:c r="K62" s="12" t="str">
        <x:v>reports/tasks/T-040302/evidence.json</x:v>
      </x:c>
      <x:c r="L62" s="12" t="str">
        <x:v>tasks/T-040302.md</x:v>
      </x:c>
      <x:c r="M62" s="12" t="str">
        <x:v>none</x:v>
      </x:c>
    </x:row>
    <x:row r="63" ht="58" customHeight="1">
      <x:c r="A63" s="12" t="str">
        <x:v>T-040303</x:v>
      </x:c>
      <x:c r="B63" s="12" t="str">
        <x:v>S04</x:v>
      </x:c>
      <x:c r="C63" s="12" t="str">
        <x:v>ST-0403</x:v>
      </x:c>
      <x:c r="D63" s="12" t="str">
        <x:v>QA_AGENT</x:v>
      </x:c>
      <x:c r="E63" s="12" t="str">
        <x:v>Thực hiện TC-01..15 trên exported build</x:v>
      </x:c>
      <x:c r="F63" s="12" t="str">
        <x:v>NOT_STARTED</x:v>
      </x:c>
      <x:c r="G63" s="12" t="str">
        <x:v>T-040201, T-040202, T-040203, T-040204, T-040302</x:v>
      </x:c>
      <x:c r="H63" s="12" t="str">
        <x:v>reports/S04/test_matrix.csv</x:v>
      </x:c>
      <x:c r="I63" s="12" t="str">
        <x:v>ARTIFACT_REVIEW, ENGINE_TEST, RENDERED_RUNTIME</x:v>
      </x:c>
      <x:c r="J63" s="12" t="str">
        <x:v>M</x:v>
      </x:c>
      <x:c r="K63" s="12" t="str">
        <x:v>reports/tasks/T-040303/evidence.json</x:v>
      </x:c>
      <x:c r="L63" s="12" t="str">
        <x:v>tasks/T-040303.md</x:v>
      </x:c>
      <x:c r="M63" s="12" t="str">
        <x:v>none</x:v>
      </x:c>
    </x:row>
    <x:row r="64" ht="58" customHeight="1">
      <x:c r="A64" s="12" t="str">
        <x:v>T-040304</x:v>
      </x:c>
      <x:c r="B64" s="12" t="str">
        <x:v>S04</x:v>
      </x:c>
      <x:c r="C64" s="12" t="str">
        <x:v>ST-0403</x:v>
      </x:c>
      <x:c r="D64" s="12" t="str">
        <x:v>GAMEPLAY_AGENT</x:v>
      </x:c>
      <x:c r="E64" s="12" t="str">
        <x:v>Phân tích feedback và chọn sửa blocker</x:v>
      </x:c>
      <x:c r="F64" s="12" t="str">
        <x:v>NOT_STARTED</x:v>
      </x:c>
      <x:c r="G64" s="12" t="str">
        <x:v>T-040201, T-040202, T-040203, T-040204, T-040303</x:v>
      </x:c>
      <x:c r="H64" s="12" t="str">
        <x:v>reports/S04/findings.md</x:v>
      </x:c>
      <x:c r="I64" s="12" t="str">
        <x:v>ARTIFACT_REVIEW, ENGINE_TEST</x:v>
      </x:c>
      <x:c r="J64" s="12" t="str">
        <x:v>M</x:v>
      </x:c>
      <x:c r="K64" s="12" t="str">
        <x:v>reports/tasks/T-040304/evidence.json</x:v>
      </x:c>
      <x:c r="L64" s="12" t="str">
        <x:v>tasks/T-040304.md</x:v>
      </x:c>
      <x:c r="M64" s="12" t="str">
        <x:v>none</x:v>
      </x:c>
    </x:row>
    <x:row r="65" ht="58" customHeight="1">
      <x:c r="A65" s="12" t="str">
        <x:v>T-040401</x:v>
      </x:c>
      <x:c r="B65" s="12" t="str">
        <x:v>S04</x:v>
      </x:c>
      <x:c r="C65" s="12" t="str">
        <x:v>ST-0404</x:v>
      </x:c>
      <x:c r="D65" s="12" t="str">
        <x:v>QA_AGENT</x:v>
      </x:c>
      <x:c r="E65" s="12" t="str">
        <x:v>Sửa blocker từ phiên thử và chạy lại</x:v>
      </x:c>
      <x:c r="F65" s="12" t="str">
        <x:v>NOT_STARTED</x:v>
      </x:c>
      <x:c r="G65" s="12" t="str">
        <x:v>T-040301, T-040302, T-040303, T-040304</x:v>
      </x:c>
      <x:c r="H65" s="12" t="str">
        <x:v>reports/S04/retest.md</x:v>
      </x:c>
      <x:c r="I65" s="12" t="str">
        <x:v>ARTIFACT_REVIEW, ENGINE_TEST, RENDERED_RUNTIME</x:v>
      </x:c>
      <x:c r="J65" s="12" t="str">
        <x:v>M</x:v>
      </x:c>
      <x:c r="K65" s="12" t="str">
        <x:v>reports/tasks/T-040401/evidence.json</x:v>
      </x:c>
      <x:c r="L65" s="12" t="str">
        <x:v>tasks/T-040401.md</x:v>
      </x:c>
      <x:c r="M65" s="12" t="str">
        <x:v>none</x:v>
      </x:c>
    </x:row>
    <x:row r="66" ht="58" customHeight="1">
      <x:c r="A66" s="12" t="str">
        <x:v>T-040402</x:v>
      </x:c>
      <x:c r="B66" s="12" t="str">
        <x:v>S04</x:v>
      </x:c>
      <x:c r="C66" s="12" t="str">
        <x:v>ST-0404</x:v>
      </x:c>
      <x:c r="D66" s="12" t="str">
        <x:v>ORCHESTRATOR</x:v>
      </x:c>
      <x:c r="E66" s="12" t="str">
        <x:v>Đóng benchmark P0 và regression baseline</x:v>
      </x:c>
      <x:c r="F66" s="12" t="str">
        <x:v>NOT_STARTED</x:v>
      </x:c>
      <x:c r="G66" s="12" t="str">
        <x:v>T-040301, T-040302, T-040303, T-040304, T-040401</x:v>
      </x:c>
      <x:c r="H66" s="12" t="str">
        <x:v>reports/S04/performance.md</x:v>
      </x:c>
      <x:c r="I66" s="12" t="str">
        <x:v>ARTIFACT_REVIEW</x:v>
      </x:c>
      <x:c r="J66" s="12" t="str">
        <x:v>M</x:v>
      </x:c>
      <x:c r="K66" s="12" t="str">
        <x:v>reports/tasks/T-040402/evidence.json</x:v>
      </x:c>
      <x:c r="L66" s="12" t="str">
        <x:v>tasks/T-040402.md</x:v>
      </x:c>
      <x:c r="M66" s="12" t="str">
        <x:v>none</x:v>
      </x:c>
    </x:row>
    <x:row r="67" ht="58" customHeight="1">
      <x:c r="A67" s="12" t="str">
        <x:v>T-040403</x:v>
      </x:c>
      <x:c r="B67" s="12" t="str">
        <x:v>S04</x:v>
      </x:c>
      <x:c r="C67" s="12" t="str">
        <x:v>ST-0404</x:v>
      </x:c>
      <x:c r="D67" s="12" t="str">
        <x:v>GAMEPLAY_AGENT</x:v>
      </x:c>
      <x:c r="E67" s="12" t="str">
        <x:v>Tính actual throughput và cập nhật 2 sprint tới</x:v>
      </x:c>
      <x:c r="F67" s="12" t="str">
        <x:v>NOT_STARTED</x:v>
      </x:c>
      <x:c r="G67" s="12" t="str">
        <x:v>T-040301, T-040302, T-040303, T-040304, T-040402</x:v>
      </x:c>
      <x:c r="H67" s="12" t="str">
        <x:v>docs/forecast.md</x:v>
      </x:c>
      <x:c r="I67" s="12" t="str">
        <x:v>ARTIFACT_REVIEW, ENGINE_TEST</x:v>
      </x:c>
      <x:c r="J67" s="12" t="str">
        <x:v>M</x:v>
      </x:c>
      <x:c r="K67" s="12" t="str">
        <x:v>reports/tasks/T-040403/evidence.json</x:v>
      </x:c>
      <x:c r="L67" s="12" t="str">
        <x:v>tasks/T-040403.md</x:v>
      </x:c>
      <x:c r="M67" s="12" t="str">
        <x:v>none</x:v>
      </x:c>
    </x:row>
    <x:row r="68" ht="58" customHeight="1">
      <x:c r="A68" s="12" t="str">
        <x:v>T-040404</x:v>
      </x:c>
      <x:c r="B68" s="12" t="str">
        <x:v>S04</x:v>
      </x:c>
      <x:c r="C68" s="12" t="str">
        <x:v>ST-0404</x:v>
      </x:c>
      <x:c r="D68" s="12" t="str">
        <x:v>ORCHESTRATOR</x:v>
      </x:c>
      <x:c r="E68" s="12" t="str">
        <x:v>Ghi bằng chứng G1 hoặc kích hoạt reserve RS01</x:v>
      </x:c>
      <x:c r="F68" s="12" t="str">
        <x:v>NOT_STARTED</x:v>
      </x:c>
      <x:c r="G68" s="12" t="str">
        <x:v>T-040301, T-040302, T-040303, T-040304, T-040403</x:v>
      </x:c>
      <x:c r="H68" s="12" t="str">
        <x:v>reports/S04/gate_G1.md</x:v>
      </x:c>
      <x:c r="I68" s="12" t="str">
        <x:v>ARTIFACT_REVIEW</x:v>
      </x:c>
      <x:c r="J68" s="12" t="str">
        <x:v>S</x:v>
      </x:c>
      <x:c r="K68" s="12" t="str">
        <x:v>reports/tasks/T-040404/evidence.json</x:v>
      </x:c>
      <x:c r="L68" s="12" t="str">
        <x:v>tasks/T-040404.md</x:v>
      </x:c>
      <x:c r="M68" s="12" t="str">
        <x:v>none</x:v>
      </x:c>
    </x:row>
    <x:row r="69" ht="58" customHeight="1">
      <x:c r="A69" s="12" t="str">
        <x:v>T-050101</x:v>
      </x:c>
      <x:c r="B69" s="12" t="str">
        <x:v>S05</x:v>
      </x:c>
      <x:c r="C69" s="12" t="str">
        <x:v>ST-0501</x:v>
      </x:c>
      <x:c r="D69" s="12" t="str">
        <x:v>GAMEPLAY_AGENT</x:v>
      </x:c>
      <x:c r="E69" s="12" t="str">
        <x:v>Định nghĩa StoryState và event schema</x:v>
      </x:c>
      <x:c r="F69" s="12" t="str">
        <x:v>NOT_STARTED</x:v>
      </x:c>
      <x:c r="G69" s="12" t="str">
        <x:v>T-040401, T-040402, T-040403, T-040404</x:v>
      </x:c>
      <x:c r="H69" s="12" t="str">
        <x:v>scripts/story/story_state.gd; data/story/</x:v>
      </x:c>
      <x:c r="I69" s="12" t="str">
        <x:v>ARTIFACT_REVIEW, ENGINE_TEST</x:v>
      </x:c>
      <x:c r="J69" s="12" t="str">
        <x:v>M</x:v>
      </x:c>
      <x:c r="K69" s="12" t="str">
        <x:v>reports/tasks/T-050101/evidence.json</x:v>
      </x:c>
      <x:c r="L69" s="12" t="str">
        <x:v>tasks/T-050101.md</x:v>
      </x:c>
      <x:c r="M69" s="12" t="str">
        <x:v>none</x:v>
      </x:c>
    </x:row>
    <x:row r="70" ht="58" customHeight="1">
      <x:c r="A70" s="12" t="str">
        <x:v>T-050102</x:v>
      </x:c>
      <x:c r="B70" s="12" t="str">
        <x:v>S05</x:v>
      </x:c>
      <x:c r="C70" s="12" t="str">
        <x:v>ST-0501</x:v>
      </x:c>
      <x:c r="D70" s="12" t="str">
        <x:v>GAMEPLAY_AGENT</x:v>
      </x:c>
      <x:c r="E70" s="12" t="str">
        <x:v>Tạo condition/action resources cho trigger nhỏ</x:v>
      </x:c>
      <x:c r="F70" s="12" t="str">
        <x:v>NOT_STARTED</x:v>
      </x:c>
      <x:c r="G70" s="12" t="str">
        <x:v>T-040401, T-040402, T-040403, T-040404, T-050101</x:v>
      </x:c>
      <x:c r="H70" s="12" t="str">
        <x:v>scripts/story/story_trigger.gd</x:v>
      </x:c>
      <x:c r="I70" s="12" t="str">
        <x:v>ARTIFACT_REVIEW, ENGINE_TEST</x:v>
      </x:c>
      <x:c r="J70" s="12" t="str">
        <x:v>L</x:v>
      </x:c>
      <x:c r="K70" s="12" t="str">
        <x:v>reports/tasks/T-050102/evidence.json</x:v>
      </x:c>
      <x:c r="L70" s="12" t="str">
        <x:v>tasks/T-050102.md</x:v>
      </x:c>
      <x:c r="M70" s="12" t="str">
        <x:v>none</x:v>
      </x:c>
    </x:row>
    <x:row r="71" ht="58" customHeight="1">
      <x:c r="A71" s="12" t="str">
        <x:v>T-050103</x:v>
      </x:c>
      <x:c r="B71" s="12" t="str">
        <x:v>S05</x:v>
      </x:c>
      <x:c r="C71" s="12" t="str">
        <x:v>ST-0501</x:v>
      </x:c>
      <x:c r="D71" s="12" t="str">
        <x:v>GAMEPLAY_AGENT</x:v>
      </x:c>
      <x:c r="E71" s="12" t="str">
        <x:v>Chuyển P0 flags sang adapter có ID</x:v>
      </x:c>
      <x:c r="F71" s="12" t="str">
        <x:v>NOT_STARTED</x:v>
      </x:c>
      <x:c r="G71" s="12" t="str">
        <x:v>T-040401, T-040402, T-040403, T-040404, T-050102</x:v>
      </x:c>
      <x:c r="H71" s="12" t="str">
        <x:v>scripts/puzzles/p0_puzzle_controller.gd</x:v>
      </x:c>
      <x:c r="I71" s="12" t="str">
        <x:v>ARTIFACT_REVIEW, ENGINE_TEST</x:v>
      </x:c>
      <x:c r="J71" s="12" t="str">
        <x:v>M</x:v>
      </x:c>
      <x:c r="K71" s="12" t="str">
        <x:v>reports/tasks/T-050103/evidence.json</x:v>
      </x:c>
      <x:c r="L71" s="12" t="str">
        <x:v>tasks/T-050103.md</x:v>
      </x:c>
      <x:c r="M71" s="12" t="str">
        <x:v>none</x:v>
      </x:c>
    </x:row>
    <x:row r="72" ht="58" customHeight="1">
      <x:c r="A72" s="12" t="str">
        <x:v>T-050104</x:v>
      </x:c>
      <x:c r="B72" s="12" t="str">
        <x:v>S05</x:v>
      </x:c>
      <x:c r="C72" s="12" t="str">
        <x:v>ST-0501</x:v>
      </x:c>
      <x:c r="D72" s="12" t="str">
        <x:v>QA_AGENT</x:v>
      </x:c>
      <x:c r="E72" s="12" t="str">
        <x:v>Test trigger qua unload/reload và spam interact</x:v>
      </x:c>
      <x:c r="F72" s="12" t="str">
        <x:v>NOT_STARTED</x:v>
      </x:c>
      <x:c r="G72" s="12" t="str">
        <x:v>T-040401, T-040402, T-040403, T-040404, T-050103</x:v>
      </x:c>
      <x:c r="H72" s="12" t="str">
        <x:v>tests/story/</x:v>
      </x:c>
      <x:c r="I72" s="12" t="str">
        <x:v>ARTIFACT_REVIEW, ENGINE_TEST, RENDERED_RUNTIME</x:v>
      </x:c>
      <x:c r="J72" s="12" t="str">
        <x:v>S</x:v>
      </x:c>
      <x:c r="K72" s="12" t="str">
        <x:v>reports/tasks/T-050104/evidence.json</x:v>
      </x:c>
      <x:c r="L72" s="12" t="str">
        <x:v>tasks/T-050104.md</x:v>
      </x:c>
      <x:c r="M72" s="12" t="str">
        <x:v>none</x:v>
      </x:c>
    </x:row>
    <x:row r="73" ht="58" customHeight="1">
      <x:c r="A73" s="12" t="str">
        <x:v>T-050201</x:v>
      </x:c>
      <x:c r="B73" s="12" t="str">
        <x:v>S05</x:v>
      </x:c>
      <x:c r="C73" s="12" t="str">
        <x:v>ST-0502</x:v>
      </x:c>
      <x:c r="D73" s="12" t="str">
        <x:v>GAMEPLAY_AGENT</x:v>
      </x:c>
      <x:c r="E73" s="12" t="str">
        <x:v>Thiết kế save schema và validation</x:v>
      </x:c>
      <x:c r="F73" s="12" t="str">
        <x:v>NOT_STARTED</x:v>
      </x:c>
      <x:c r="G73" s="12" t="str">
        <x:v>T-050101, T-050102, T-050103, T-050104</x:v>
      </x:c>
      <x:c r="H73" s="12" t="str">
        <x:v>docs/save_schema.md</x:v>
      </x:c>
      <x:c r="I73" s="12" t="str">
        <x:v>ARTIFACT_REVIEW, ENGINE_TEST</x:v>
      </x:c>
      <x:c r="J73" s="12" t="str">
        <x:v>M</x:v>
      </x:c>
      <x:c r="K73" s="12" t="str">
        <x:v>reports/tasks/T-050201/evidence.json</x:v>
      </x:c>
      <x:c r="L73" s="12" t="str">
        <x:v>tasks/T-050201.md</x:v>
      </x:c>
      <x:c r="M73" s="12" t="str">
        <x:v>none</x:v>
      </x:c>
    </x:row>
    <x:row r="74" ht="58" customHeight="1">
      <x:c r="A74" s="12" t="str">
        <x:v>T-050202</x:v>
      </x:c>
      <x:c r="B74" s="12" t="str">
        <x:v>S05</x:v>
      </x:c>
      <x:c r="C74" s="12" t="str">
        <x:v>ST-0502</x:v>
      </x:c>
      <x:c r="D74" s="12" t="str">
        <x:v>RELEASE_AGENT</x:v>
      </x:c>
      <x:c r="E74" s="12" t="str">
        <x:v>Implement ghi temp/backup và restore</x:v>
      </x:c>
      <x:c r="F74" s="12" t="str">
        <x:v>NOT_STARTED</x:v>
      </x:c>
      <x:c r="G74" s="12" t="str">
        <x:v>T-050101, T-050102, T-050103, T-050104, T-050201</x:v>
      </x:c>
      <x:c r="H74" s="12" t="str">
        <x:v>scripts/save/save_service.gd</x:v>
      </x:c>
      <x:c r="I74" s="12" t="str">
        <x:v>ARTIFACT_REVIEW</x:v>
      </x:c>
      <x:c r="J74" s="12" t="str">
        <x:v>L</x:v>
      </x:c>
      <x:c r="K74" s="12" t="str">
        <x:v>reports/tasks/T-050202/evidence.json</x:v>
      </x:c>
      <x:c r="L74" s="12" t="str">
        <x:v>tasks/T-050202.md</x:v>
      </x:c>
      <x:c r="M74" s="12" t="str">
        <x:v>none</x:v>
      </x:c>
    </x:row>
    <x:row r="75" ht="58" customHeight="1">
      <x:c r="A75" s="12" t="str">
        <x:v>T-050203</x:v>
      </x:c>
      <x:c r="B75" s="12" t="str">
        <x:v>S05</x:v>
      </x:c>
      <x:c r="C75" s="12" t="str">
        <x:v>ST-0502</x:v>
      </x:c>
      <x:c r="D75" s="12" t="str">
        <x:v>GAMEPLAY_AGENT</x:v>
      </x:c>
      <x:c r="E75" s="12" t="str">
        <x:v>Áp checkpoint sau khi state level đã khôi phục</x:v>
      </x:c>
      <x:c r="F75" s="12" t="str">
        <x:v>NOT_STARTED</x:v>
      </x:c>
      <x:c r="G75" s="12" t="str">
        <x:v>T-050101, T-050102, T-050103, T-050104, T-050202</x:v>
      </x:c>
      <x:c r="H75" s="12" t="str">
        <x:v>scripts/save/checkpoint_resolver.gd</x:v>
      </x:c>
      <x:c r="I75" s="12" t="str">
        <x:v>ARTIFACT_REVIEW, ENGINE_TEST</x:v>
      </x:c>
      <x:c r="J75" s="12" t="str">
        <x:v>M</x:v>
      </x:c>
      <x:c r="K75" s="12" t="str">
        <x:v>reports/tasks/T-050203/evidence.json</x:v>
      </x:c>
      <x:c r="L75" s="12" t="str">
        <x:v>tasks/T-050203.md</x:v>
      </x:c>
      <x:c r="M75" s="12" t="str">
        <x:v>none</x:v>
      </x:c>
    </x:row>
    <x:row r="76" ht="58" customHeight="1">
      <x:c r="A76" s="12" t="str">
        <x:v>T-050204</x:v>
      </x:c>
      <x:c r="B76" s="12" t="str">
        <x:v>S05</x:v>
      </x:c>
      <x:c r="C76" s="12" t="str">
        <x:v>ST-0502</x:v>
      </x:c>
      <x:c r="D76" s="12" t="str">
        <x:v>QA_AGENT</x:v>
      </x:c>
      <x:c r="E76" s="12" t="str">
        <x:v>Test corrupted/missing save và quit/load</x:v>
      </x:c>
      <x:c r="F76" s="12" t="str">
        <x:v>NOT_STARTED</x:v>
      </x:c>
      <x:c r="G76" s="12" t="str">
        <x:v>T-050101, T-050102, T-050103, T-050104, T-050203</x:v>
      </x:c>
      <x:c r="H76" s="12" t="str">
        <x:v>tests/save/</x:v>
      </x:c>
      <x:c r="I76" s="12" t="str">
        <x:v>ARTIFACT_REVIEW, ENGINE_TEST, RENDERED_RUNTIME</x:v>
      </x:c>
      <x:c r="J76" s="12" t="str">
        <x:v>S</x:v>
      </x:c>
      <x:c r="K76" s="12" t="str">
        <x:v>reports/tasks/T-050204/evidence.json</x:v>
      </x:c>
      <x:c r="L76" s="12" t="str">
        <x:v>tasks/T-050204.md</x:v>
      </x:c>
      <x:c r="M76" s="12" t="str">
        <x:v>none</x:v>
      </x:c>
    </x:row>
    <x:row r="77" ht="58" customHeight="1">
      <x:c r="A77" s="12" t="str">
        <x:v>T-050301</x:v>
      </x:c>
      <x:c r="B77" s="12" t="str">
        <x:v>S05</x:v>
      </x:c>
      <x:c r="C77" s="12" t="str">
        <x:v>ST-0503</x:v>
      </x:c>
      <x:c r="D77" s="12" t="str">
        <x:v>ART_AGENT</x:v>
      </x:c>
      <x:c r="E77" s="12" t="str">
        <x:v>Chốt turnaround và silhouette Minh</x:v>
      </x:c>
      <x:c r="F77" s="12" t="str">
        <x:v>NOT_STARTED</x:v>
      </x:c>
      <x:c r="G77" s="12" t="str">
        <x:v>T-020301, T-020302, T-020303, T-020304, T-040401, T-040402, T-040403, T-040404</x:v>
      </x:c>
      <x:c r="H77" s="12" t="str">
        <x:v>art/characters/minh/design/</x:v>
      </x:c>
      <x:c r="I77" s="12" t="str">
        <x:v>ARTIFACT_REVIEW, RENDERED_RUNTIME</x:v>
      </x:c>
      <x:c r="J77" s="12" t="str">
        <x:v>L</x:v>
      </x:c>
      <x:c r="K77" s="12" t="str">
        <x:v>reports/tasks/T-050301/evidence.json</x:v>
      </x:c>
      <x:c r="L77" s="12" t="str">
        <x:v>tasks/T-050301.md</x:v>
      </x:c>
      <x:c r="M77" s="12" t="str">
        <x:v>none</x:v>
      </x:c>
    </x:row>
    <x:row r="78" ht="58" customHeight="1">
      <x:c r="A78" s="12" t="str">
        <x:v>T-050302</x:v>
      </x:c>
      <x:c r="B78" s="12" t="str">
        <x:v>S05</x:v>
      </x:c>
      <x:c r="C78" s="12" t="str">
        <x:v>ST-0503</x:v>
      </x:c>
      <x:c r="D78" s="12" t="str">
        <x:v>ART_AGENT</x:v>
      </x:c>
      <x:c r="E78" s="12" t="str">
        <x:v>Dựng mesh, UV và material Minh</x:v>
      </x:c>
      <x:c r="F78" s="12" t="str">
        <x:v>NOT_STARTED</x:v>
      </x:c>
      <x:c r="G78" s="12" t="str">
        <x:v>T-020301, T-020302, T-020303, T-020304, T-040401, T-040402, T-040403, T-040404, T-050301</x:v>
      </x:c>
      <x:c r="H78" s="12" t="str">
        <x:v>art/source/minh.blend</x:v>
      </x:c>
      <x:c r="I78" s="12" t="str">
        <x:v>ARTIFACT_REVIEW, RENDERED_RUNTIME</x:v>
      </x:c>
      <x:c r="J78" s="12" t="str">
        <x:v>L</x:v>
      </x:c>
      <x:c r="K78" s="12" t="str">
        <x:v>reports/tasks/T-050302/evidence.json</x:v>
      </x:c>
      <x:c r="L78" s="12" t="str">
        <x:v>tasks/T-050302.md</x:v>
      </x:c>
      <x:c r="M78" s="12" t="str">
        <x:v>none</x:v>
      </x:c>
    </x:row>
    <x:row r="79" ht="58" customHeight="1">
      <x:c r="A79" s="12" t="str">
        <x:v>T-050303</x:v>
      </x:c>
      <x:c r="B79" s="12" t="str">
        <x:v>S05</x:v>
      </x:c>
      <x:c r="C79" s="12" t="str">
        <x:v>ST-0503</x:v>
      </x:c>
      <x:c r="D79" s="12" t="str">
        <x:v>ART_AGENT</x:v>
      </x:c>
      <x:c r="E79" s="12" t="str">
        <x:v>Rig và export GLB bản đầu</x:v>
      </x:c>
      <x:c r="F79" s="12" t="str">
        <x:v>NOT_STARTED</x:v>
      </x:c>
      <x:c r="G79" s="12" t="str">
        <x:v>T-020301, T-020302, T-020303, T-020304, T-040401, T-040402, T-040403, T-040404, T-050302</x:v>
      </x:c>
      <x:c r="H79" s="12" t="str">
        <x:v>art/export/characters/minh.glb</x:v>
      </x:c>
      <x:c r="I79" s="12" t="str">
        <x:v>ARTIFACT_REVIEW, RENDERED_RUNTIME</x:v>
      </x:c>
      <x:c r="J79" s="12" t="str">
        <x:v>L</x:v>
      </x:c>
      <x:c r="K79" s="12" t="str">
        <x:v>reports/tasks/T-050303/evidence.json</x:v>
      </x:c>
      <x:c r="L79" s="12" t="str">
        <x:v>tasks/T-050303.md</x:v>
      </x:c>
      <x:c r="M79" s="12" t="str">
        <x:v>none</x:v>
      </x:c>
    </x:row>
    <x:row r="80" ht="58" customHeight="1">
      <x:c r="A80" s="12" t="str">
        <x:v>T-050304</x:v>
      </x:c>
      <x:c r="B80" s="12" t="str">
        <x:v>S05</x:v>
      </x:c>
      <x:c r="C80" s="12" t="str">
        <x:v>ST-0503</x:v>
      </x:c>
      <x:c r="D80" s="12" t="str">
        <x:v>GAMEPLAY_AGENT</x:v>
      </x:c>
      <x:c r="E80" s="12" t="str">
        <x:v>Import rig và gắn player visual adapter</x:v>
      </x:c>
      <x:c r="F80" s="12" t="str">
        <x:v>NOT_STARTED</x:v>
      </x:c>
      <x:c r="G80" s="12" t="str">
        <x:v>T-020301, T-020302, T-020303, T-020304, T-040401, T-040402, T-040403, T-040404, T-050303</x:v>
      </x:c>
      <x:c r="H80" s="12" t="str">
        <x:v>scenes/player/minh_visual.tscn</x:v>
      </x:c>
      <x:c r="I80" s="12" t="str">
        <x:v>ARTIFACT_REVIEW, ENGINE_TEST</x:v>
      </x:c>
      <x:c r="J80" s="12" t="str">
        <x:v>M</x:v>
      </x:c>
      <x:c r="K80" s="12" t="str">
        <x:v>reports/tasks/T-050304/evidence.json</x:v>
      </x:c>
      <x:c r="L80" s="12" t="str">
        <x:v>tasks/T-050304.md</x:v>
      </x:c>
      <x:c r="M80" s="12" t="str">
        <x:v>none</x:v>
      </x:c>
    </x:row>
    <x:row r="81" ht="58" customHeight="1">
      <x:c r="A81" s="12" t="str">
        <x:v>T-050401</x:v>
      </x:c>
      <x:c r="B81" s="12" t="str">
        <x:v>S05</x:v>
      </x:c>
      <x:c r="C81" s="12" t="str">
        <x:v>ST-0504</x:v>
      </x:c>
      <x:c r="D81" s="12" t="str">
        <x:v>QA_AGENT</x:v>
      </x:c>
      <x:c r="E81" s="12" t="str">
        <x:v>Tạo integration scene story/save/door</x:v>
      </x:c>
      <x:c r="F81" s="12" t="str">
        <x:v>NOT_STARTED</x:v>
      </x:c>
      <x:c r="G81" s="12" t="str">
        <x:v>T-050201, T-050202, T-050203, T-050204, T-050301, T-050302, T-050303, T-050304</x:v>
      </x:c>
      <x:c r="H81" s="12" t="str">
        <x:v>scenes/tests/story_save_lab.tscn</x:v>
      </x:c>
      <x:c r="I81" s="12" t="str">
        <x:v>ARTIFACT_REVIEW, ENGINE_TEST, RENDERED_RUNTIME</x:v>
      </x:c>
      <x:c r="J81" s="12" t="str">
        <x:v>L</x:v>
      </x:c>
      <x:c r="K81" s="12" t="str">
        <x:v>reports/tasks/T-050401/evidence.json</x:v>
      </x:c>
      <x:c r="L81" s="12" t="str">
        <x:v>tasks/T-050401.md</x:v>
      </x:c>
      <x:c r="M81" s="12" t="str">
        <x:v>none</x:v>
      </x:c>
    </x:row>
    <x:row r="82" ht="58" customHeight="1">
      <x:c r="A82" s="12" t="str">
        <x:v>T-050402</x:v>
      </x:c>
      <x:c r="B82" s="12" t="str">
        <x:v>S05</x:v>
      </x:c>
      <x:c r="C82" s="12" t="str">
        <x:v>ST-0504</x:v>
      </x:c>
      <x:c r="D82" s="12" t="str">
        <x:v>QA_AGENT</x:v>
      </x:c>
      <x:c r="E82" s="12" t="str">
        <x:v>Chạy matrix ghi lỗi và double trigger</x:v>
      </x:c>
      <x:c r="F82" s="12" t="str">
        <x:v>NOT_STARTED</x:v>
      </x:c>
      <x:c r="G82" s="12" t="str">
        <x:v>T-050201, T-050202, T-050203, T-050204, T-050301, T-050302, T-050303, T-050304, T-050401</x:v>
      </x:c>
      <x:c r="H82" s="12" t="str">
        <x:v>reports/S05/persistence.md</x:v>
      </x:c>
      <x:c r="I82" s="12" t="str">
        <x:v>ARTIFACT_REVIEW, ENGINE_TEST, RENDERED_RUNTIME</x:v>
      </x:c>
      <x:c r="J82" s="12" t="str">
        <x:v>M</x:v>
      </x:c>
      <x:c r="K82" s="12" t="str">
        <x:v>reports/tasks/T-050402/evidence.json</x:v>
      </x:c>
      <x:c r="L82" s="12" t="str">
        <x:v>tasks/T-050402.md</x:v>
      </x:c>
      <x:c r="M82" s="12" t="str">
        <x:v>none</x:v>
      </x:c>
    </x:row>
    <x:row r="83" ht="58" customHeight="1">
      <x:c r="A83" s="12" t="str">
        <x:v>T-050403</x:v>
      </x:c>
      <x:c r="B83" s="12" t="str">
        <x:v>S05</x:v>
      </x:c>
      <x:c r="C83" s="12" t="str">
        <x:v>ST-0504</x:v>
      </x:c>
      <x:c r="D83" s="12" t="str">
        <x:v>GAMEPLAY_AGENT</x:v>
      </x:c>
      <x:c r="E83" s="12" t="str">
        <x:v>Viết hướng dẫn authoring trigger và checkpoint</x:v>
      </x:c>
      <x:c r="F83" s="12" t="str">
        <x:v>NOT_STARTED</x:v>
      </x:c>
      <x:c r="G83" s="12" t="str">
        <x:v>T-050201, T-050202, T-050203, T-050204, T-050301, T-050302, T-050303, T-050304, T-050402</x:v>
      </x:c>
      <x:c r="H83" s="12" t="str">
        <x:v>docs/authoring/story_checkpoints.md</x:v>
      </x:c>
      <x:c r="I83" s="12" t="str">
        <x:v>ARTIFACT_REVIEW, ENGINE_TEST</x:v>
      </x:c>
      <x:c r="J83" s="12" t="str">
        <x:v>M</x:v>
      </x:c>
      <x:c r="K83" s="12" t="str">
        <x:v>reports/tasks/T-050403/evidence.json</x:v>
      </x:c>
      <x:c r="L83" s="12" t="str">
        <x:v>tasks/T-050403.md</x:v>
      </x:c>
      <x:c r="M83" s="12" t="str">
        <x:v>none</x:v>
      </x:c>
    </x:row>
    <x:row r="84" ht="58" customHeight="1">
      <x:c r="A84" s="12" t="str">
        <x:v>T-050404</x:v>
      </x:c>
      <x:c r="B84" s="12" t="str">
        <x:v>S05</x:v>
      </x:c>
      <x:c r="C84" s="12" t="str">
        <x:v>ST-0504</x:v>
      </x:c>
      <x:c r="D84" s="12" t="str">
        <x:v>ORCHESTRATOR</x:v>
      </x:c>
      <x:c r="E84" s="12" t="str">
        <x:v>Review schema và sprint</x:v>
      </x:c>
      <x:c r="F84" s="12" t="str">
        <x:v>NOT_STARTED</x:v>
      </x:c>
      <x:c r="G84" s="12" t="str">
        <x:v>T-050201, T-050202, T-050203, T-050204, T-050301, T-050302, T-050303, T-050304, T-050403</x:v>
      </x:c>
      <x:c r="H84" s="12" t="str">
        <x:v>reports/S05/review.md</x:v>
      </x:c>
      <x:c r="I84" s="12" t="str">
        <x:v>ARTIFACT_REVIEW</x:v>
      </x:c>
      <x:c r="J84" s="12" t="str">
        <x:v>S</x:v>
      </x:c>
      <x:c r="K84" s="12" t="str">
        <x:v>reports/tasks/T-050404/evidence.json</x:v>
      </x:c>
      <x:c r="L84" s="12" t="str">
        <x:v>tasks/T-050404.md</x:v>
      </x:c>
      <x:c r="M84" s="12" t="str">
        <x:v>none</x:v>
      </x:c>
    </x:row>
    <x:row r="85" ht="58" customHeight="1">
      <x:c r="A85" s="12" t="str">
        <x:v>T-060101</x:v>
      </x:c>
      <x:c r="B85" s="12" t="str">
        <x:v>S06</x:v>
      </x:c>
      <x:c r="C85" s="12" t="str">
        <x:v>ST-0601</x:v>
      </x:c>
      <x:c r="D85" s="12" t="str">
        <x:v>NARRATIVE_AGENT</x:v>
      </x:c>
      <x:c r="E85" s="12" t="str">
        <x:v>Tạo dialogue resource và key convention</x:v>
      </x:c>
      <x:c r="F85" s="12" t="str">
        <x:v>NOT_STARTED</x:v>
      </x:c>
      <x:c r="G85" s="12" t="str">
        <x:v>T-050401, T-050402, T-050403, T-050404</x:v>
      </x:c>
      <x:c r="H85" s="12" t="str">
        <x:v>data/dialogue/ch01/; docs/localization_keys.md</x:v>
      </x:c>
      <x:c r="I85" s="12" t="str">
        <x:v>ARTIFACT_REVIEW</x:v>
      </x:c>
      <x:c r="J85" s="12" t="str">
        <x:v>M</x:v>
      </x:c>
      <x:c r="K85" s="12" t="str">
        <x:v>reports/tasks/T-060101/evidence.json</x:v>
      </x:c>
      <x:c r="L85" s="12" t="str">
        <x:v>tasks/T-060101.md</x:v>
      </x:c>
      <x:c r="M85" s="12" t="str">
        <x:v>none</x:v>
      </x:c>
    </x:row>
    <x:row r="86" ht="58" customHeight="1">
      <x:c r="A86" s="12" t="str">
        <x:v>T-060102</x:v>
      </x:c>
      <x:c r="B86" s="12" t="str">
        <x:v>S06</x:v>
      </x:c>
      <x:c r="C86" s="12" t="str">
        <x:v>ST-0601</x:v>
      </x:c>
      <x:c r="D86" s="12" t="str">
        <x:v>NARRATIVE_AGENT</x:v>
      </x:c>
      <x:c r="E86" s="12" t="str">
        <x:v>Implement presenter, branching và input focus</x:v>
      </x:c>
      <x:c r="F86" s="12" t="str">
        <x:v>NOT_STARTED</x:v>
      </x:c>
      <x:c r="G86" s="12" t="str">
        <x:v>T-050401, T-050402, T-050403, T-050404, T-060101</x:v>
      </x:c>
      <x:c r="H86" s="12" t="str">
        <x:v>scripts/dialogue/dialogue_runner.gd</x:v>
      </x:c>
      <x:c r="I86" s="12" t="str">
        <x:v>ARTIFACT_REVIEW</x:v>
      </x:c>
      <x:c r="J86" s="12" t="str">
        <x:v>L</x:v>
      </x:c>
      <x:c r="K86" s="12" t="str">
        <x:v>reports/tasks/T-060102/evidence.json</x:v>
      </x:c>
      <x:c r="L86" s="12" t="str">
        <x:v>tasks/T-060102.md</x:v>
      </x:c>
      <x:c r="M86" s="12" t="str">
        <x:v>none</x:v>
      </x:c>
    </x:row>
    <x:row r="87" ht="58" customHeight="1">
      <x:c r="A87" s="12" t="str">
        <x:v>T-060103</x:v>
      </x:c>
      <x:c r="B87" s="12" t="str">
        <x:v>S06</x:v>
      </x:c>
      <x:c r="C87" s="12" t="str">
        <x:v>ST-0601</x:v>
      </x:c>
      <x:c r="D87" s="12" t="str">
        <x:v>NARRATIVE_AGENT</x:v>
      </x:c>
      <x:c r="E87" s="12" t="str">
        <x:v>Nhập hội thoại người bán hàng trước/sau biến mất</x:v>
      </x:c>
      <x:c r="F87" s="12" t="str">
        <x:v>NOT_STARTED</x:v>
      </x:c>
      <x:c r="G87" s="12" t="str">
        <x:v>T-050401, T-050402, T-050403, T-050404, T-060102</x:v>
      </x:c>
      <x:c r="H87" s="12" t="str">
        <x:v>data/dialogue/ch01/grocer.tres</x:v>
      </x:c>
      <x:c r="I87" s="12" t="str">
        <x:v>ARTIFACT_REVIEW</x:v>
      </x:c>
      <x:c r="J87" s="12" t="str">
        <x:v>M</x:v>
      </x:c>
      <x:c r="K87" s="12" t="str">
        <x:v>reports/tasks/T-060103/evidence.json</x:v>
      </x:c>
      <x:c r="L87" s="12" t="str">
        <x:v>tasks/T-060103.md</x:v>
      </x:c>
      <x:c r="M87" s="12" t="str">
        <x:v>none</x:v>
      </x:c>
    </x:row>
    <x:row r="88" ht="58" customHeight="1">
      <x:c r="A88" s="12" t="str">
        <x:v>T-060104</x:v>
      </x:c>
      <x:c r="B88" s="12" t="str">
        <x:v>S06</x:v>
      </x:c>
      <x:c r="C88" s="12" t="str">
        <x:v>ST-0601</x:v>
      </x:c>
      <x:c r="D88" s="12" t="str">
        <x:v>NARRATIVE_AGENT</x:v>
      </x:c>
      <x:c r="E88" s="12" t="str">
        <x:v>Test bấm nhanh, pause và text dài</x:v>
      </x:c>
      <x:c r="F88" s="12" t="str">
        <x:v>NOT_STARTED</x:v>
      </x:c>
      <x:c r="G88" s="12" t="str">
        <x:v>T-050401, T-050402, T-050403, T-050404, T-060103</x:v>
      </x:c>
      <x:c r="H88" s="12" t="str">
        <x:v>tests/dialogue/</x:v>
      </x:c>
      <x:c r="I88" s="12" t="str">
        <x:v>ARTIFACT_REVIEW</x:v>
      </x:c>
      <x:c r="J88" s="12" t="str">
        <x:v>S</x:v>
      </x:c>
      <x:c r="K88" s="12" t="str">
        <x:v>reports/tasks/T-060104/evidence.json</x:v>
      </x:c>
      <x:c r="L88" s="12" t="str">
        <x:v>tasks/T-060104.md</x:v>
      </x:c>
      <x:c r="M88" s="12" t="str">
        <x:v>none</x:v>
      </x:c>
    </x:row>
    <x:row r="89" ht="58" customHeight="1">
      <x:c r="A89" s="12" t="str">
        <x:v>T-060201</x:v>
      </x:c>
      <x:c r="B89" s="12" t="str">
        <x:v>S06</x:v>
      </x:c>
      <x:c r="C89" s="12" t="str">
        <x:v>ST-0602</x:v>
      </x:c>
      <x:c r="D89" s="12" t="str">
        <x:v>GAMEPLAY_AGENT</x:v>
      </x:c>
      <x:c r="E89" s="12" t="str">
        <x:v>Tạo sequence contract start/end/skip</x:v>
      </x:c>
      <x:c r="F89" s="12" t="str">
        <x:v>NOT_STARTED</x:v>
      </x:c>
      <x:c r="G89" s="12" t="str">
        <x:v>T-060101, T-060102, T-060103, T-060104</x:v>
      </x:c>
      <x:c r="H89" s="12" t="str">
        <x:v>scripts/cinematic/sequence_director.gd</x:v>
      </x:c>
      <x:c r="I89" s="12" t="str">
        <x:v>ARTIFACT_REVIEW, ENGINE_TEST</x:v>
      </x:c>
      <x:c r="J89" s="12" t="str">
        <x:v>M</x:v>
      </x:c>
      <x:c r="K89" s="12" t="str">
        <x:v>reports/tasks/T-060201/evidence.json</x:v>
      </x:c>
      <x:c r="L89" s="12" t="str">
        <x:v>tasks/T-060201.md</x:v>
      </x:c>
      <x:c r="M89" s="12" t="str">
        <x:v>none</x:v>
      </x:c>
    </x:row>
    <x:row r="90" ht="58" customHeight="1">
      <x:c r="A90" s="12" t="str">
        <x:v>T-060202</x:v>
      </x:c>
      <x:c r="B90" s="12" t="str">
        <x:v>S06</x:v>
      </x:c>
      <x:c r="C90" s="12" t="str">
        <x:v>ST-0602</x:v>
      </x:c>
      <x:c r="D90" s="12" t="str">
        <x:v>QA_AGENT</x:v>
      </x:c>
      <x:c r="E90" s="12" t="str">
        <x:v>Implement camera track và input lock token</x:v>
      </x:c>
      <x:c r="F90" s="12" t="str">
        <x:v>NOT_STARTED</x:v>
      </x:c>
      <x:c r="G90" s="12" t="str">
        <x:v>T-060101, T-060102, T-060103, T-060104, T-060201</x:v>
      </x:c>
      <x:c r="H90" s="12" t="str">
        <x:v>scenes/cinematic/house_disappear_test.tscn</x:v>
      </x:c>
      <x:c r="I90" s="12" t="str">
        <x:v>ARTIFACT_REVIEW, ENGINE_TEST, RENDERED_RUNTIME</x:v>
      </x:c>
      <x:c r="J90" s="12" t="str">
        <x:v>L</x:v>
      </x:c>
      <x:c r="K90" s="12" t="str">
        <x:v>reports/tasks/T-060202/evidence.json</x:v>
      </x:c>
      <x:c r="L90" s="12" t="str">
        <x:v>tasks/T-060202.md</x:v>
      </x:c>
      <x:c r="M90" s="12" t="str">
        <x:v>none</x:v>
      </x:c>
    </x:row>
    <x:row r="91" ht="58" customHeight="1">
      <x:c r="A91" s="12" t="str">
        <x:v>T-060203</x:v>
      </x:c>
      <x:c r="B91" s="12" t="str">
        <x:v>S06</x:v>
      </x:c>
      <x:c r="C91" s="12" t="str">
        <x:v>ST-0602</x:v>
      </x:c>
      <x:c r="D91" s="12" t="str">
        <x:v>GAMEPLAY_AGENT</x:v>
      </x:c>
      <x:c r="E91" s="12" t="str">
        <x:v>Cài commit cuối cảnh và checkpoint boundary</x:v>
      </x:c>
      <x:c r="F91" s="12" t="str">
        <x:v>NOT_STARTED</x:v>
      </x:c>
      <x:c r="G91" s="12" t="str">
        <x:v>T-060101, T-060102, T-060103, T-060104, T-060202</x:v>
      </x:c>
      <x:c r="H91" s="12" t="str">
        <x:v>scripts/cinematic/sequence_commit.gd</x:v>
      </x:c>
      <x:c r="I91" s="12" t="str">
        <x:v>ARTIFACT_REVIEW, ENGINE_TEST</x:v>
      </x:c>
      <x:c r="J91" s="12" t="str">
        <x:v>M</x:v>
      </x:c>
      <x:c r="K91" s="12" t="str">
        <x:v>reports/tasks/T-060203/evidence.json</x:v>
      </x:c>
      <x:c r="L91" s="12" t="str">
        <x:v>tasks/T-060203.md</x:v>
      </x:c>
      <x:c r="M91" s="12" t="str">
        <x:v>none</x:v>
      </x:c>
    </x:row>
    <x:row r="92" ht="58" customHeight="1">
      <x:c r="A92" s="12" t="str">
        <x:v>T-060204</x:v>
      </x:c>
      <x:c r="B92" s="12" t="str">
        <x:v>S06</x:v>
      </x:c>
      <x:c r="C92" s="12" t="str">
        <x:v>ST-0602</x:v>
      </x:c>
      <x:c r="D92" s="12" t="str">
        <x:v>QA_AGENT</x:v>
      </x:c>
      <x:c r="E92" s="12" t="str">
        <x:v>Test skip tại 0/25/50/90% sequence</x:v>
      </x:c>
      <x:c r="F92" s="12" t="str">
        <x:v>NOT_STARTED</x:v>
      </x:c>
      <x:c r="G92" s="12" t="str">
        <x:v>T-060101, T-060102, T-060103, T-060104, T-060203</x:v>
      </x:c>
      <x:c r="H92" s="12" t="str">
        <x:v>reports/S06/cinematic_skip.md</x:v>
      </x:c>
      <x:c r="I92" s="12" t="str">
        <x:v>ARTIFACT_REVIEW, ENGINE_TEST, RENDERED_RUNTIME</x:v>
      </x:c>
      <x:c r="J92" s="12" t="str">
        <x:v>S</x:v>
      </x:c>
      <x:c r="K92" s="12" t="str">
        <x:v>reports/tasks/T-060204/evidence.json</x:v>
      </x:c>
      <x:c r="L92" s="12" t="str">
        <x:v>tasks/T-060204.md</x:v>
      </x:c>
      <x:c r="M92" s="12" t="str">
        <x:v>none</x:v>
      </x:c>
    </x:row>
    <x:row r="93" ht="58" customHeight="1">
      <x:c r="A93" s="12" t="str">
        <x:v>T-060301</x:v>
      </x:c>
      <x:c r="B93" s="12" t="str">
        <x:v>S06</x:v>
      </x:c>
      <x:c r="C93" s="12" t="str">
        <x:v>ST-0603</x:v>
      </x:c>
      <x:c r="D93" s="12" t="str">
        <x:v>ART_AGENT</x:v>
      </x:c>
      <x:c r="E93" s="12" t="str">
        <x:v>Tạo idle và walk loop</x:v>
      </x:c>
      <x:c r="F93" s="12" t="str">
        <x:v>NOT_STARTED</x:v>
      </x:c>
      <x:c r="G93" s="12" t="str">
        <x:v>T-020101, T-020102, T-020103, T-020104, T-050301, T-050302, T-050303, T-050304</x:v>
      </x:c>
      <x:c r="H93" s="12" t="str">
        <x:v>art/source/minh_animations.blend</x:v>
      </x:c>
      <x:c r="I93" s="12" t="str">
        <x:v>ARTIFACT_REVIEW, RENDERED_RUNTIME</x:v>
      </x:c>
      <x:c r="J93" s="12" t="str">
        <x:v>L</x:v>
      </x:c>
      <x:c r="K93" s="12" t="str">
        <x:v>reports/tasks/T-060301/evidence.json</x:v>
      </x:c>
      <x:c r="L93" s="12" t="str">
        <x:v>tasks/T-060301.md</x:v>
      </x:c>
      <x:c r="M93" s="12" t="str">
        <x:v>none</x:v>
      </x:c>
    </x:row>
    <x:row r="94" ht="58" customHeight="1">
      <x:c r="A94" s="12" t="str">
        <x:v>T-060302</x:v>
      </x:c>
      <x:c r="B94" s="12" t="str">
        <x:v>S06</x:v>
      </x:c>
      <x:c r="C94" s="12" t="str">
        <x:v>ST-0603</x:v>
      </x:c>
      <x:c r="D94" s="12" t="str">
        <x:v>ART_AGENT</x:v>
      </x:c>
      <x:c r="E94" s="12" t="str">
        <x:v>Tạo run và turn/chuyển hướng</x:v>
      </x:c>
      <x:c r="F94" s="12" t="str">
        <x:v>NOT_STARTED</x:v>
      </x:c>
      <x:c r="G94" s="12" t="str">
        <x:v>T-020101, T-020102, T-020103, T-020104, T-050301, T-050302, T-050303, T-050304, T-060301</x:v>
      </x:c>
      <x:c r="H94" s="12" t="str">
        <x:v>art/export/characters/minh_motion.glb</x:v>
      </x:c>
      <x:c r="I94" s="12" t="str">
        <x:v>ARTIFACT_REVIEW, RENDERED_RUNTIME</x:v>
      </x:c>
      <x:c r="J94" s="12" t="str">
        <x:v>L</x:v>
      </x:c>
      <x:c r="K94" s="12" t="str">
        <x:v>reports/tasks/T-060302/evidence.json</x:v>
      </x:c>
      <x:c r="L94" s="12" t="str">
        <x:v>tasks/T-060302.md</x:v>
      </x:c>
      <x:c r="M94" s="12" t="str">
        <x:v>none</x:v>
      </x:c>
    </x:row>
    <x:row r="95" ht="58" customHeight="1">
      <x:c r="A95" s="12" t="str">
        <x:v>T-060303</x:v>
      </x:c>
      <x:c r="B95" s="12" t="str">
        <x:v>S06</x:v>
      </x:c>
      <x:c r="C95" s="12" t="str">
        <x:v>ST-0603</x:v>
      </x:c>
      <x:c r="D95" s="12" t="str">
        <x:v>ART_AGENT</x:v>
      </x:c>
      <x:c r="E95" s="12" t="str">
        <x:v>Tạo cầm đèn và lấy vật chứng</x:v>
      </x:c>
      <x:c r="F95" s="12" t="str">
        <x:v>NOT_STARTED</x:v>
      </x:c>
      <x:c r="G95" s="12" t="str">
        <x:v>T-020101, T-020102, T-020103, T-020104, T-050301, T-050302, T-050303, T-050304, T-060302</x:v>
      </x:c>
      <x:c r="H95" s="12" t="str">
        <x:v>art/export/characters/minh_interactions.glb</x:v>
      </x:c>
      <x:c r="I95" s="12" t="str">
        <x:v>ARTIFACT_REVIEW, RENDERED_RUNTIME</x:v>
      </x:c>
      <x:c r="J95" s="12" t="str">
        <x:v>L</x:v>
      </x:c>
      <x:c r="K95" s="12" t="str">
        <x:v>reports/tasks/T-060303/evidence.json</x:v>
      </x:c>
      <x:c r="L95" s="12" t="str">
        <x:v>tasks/T-060303.md</x:v>
      </x:c>
      <x:c r="M95" s="12" t="str">
        <x:v>none</x:v>
      </x:c>
    </x:row>
    <x:row r="96" ht="58" customHeight="1">
      <x:c r="A96" s="12" t="str">
        <x:v>T-060304</x:v>
      </x:c>
      <x:c r="B96" s="12" t="str">
        <x:v>S06</x:v>
      </x:c>
      <x:c r="C96" s="12" t="str">
        <x:v>ST-0603</x:v>
      </x:c>
      <x:c r="D96" s="12" t="str">
        <x:v>GAMEPLAY_AGENT</x:v>
      </x:c>
      <x:c r="E96" s="12" t="str">
        <x:v>Cài AnimationTree và event footstep</x:v>
      </x:c>
      <x:c r="F96" s="12" t="str">
        <x:v>NOT_STARTED</x:v>
      </x:c>
      <x:c r="G96" s="12" t="str">
        <x:v>T-020101, T-020102, T-020103, T-020104, T-050301, T-050302, T-050303, T-050304, T-060303</x:v>
      </x:c>
      <x:c r="H96" s="12" t="str">
        <x:v>scripts/player/minh_animation.gd</x:v>
      </x:c>
      <x:c r="I96" s="12" t="str">
        <x:v>ARTIFACT_REVIEW, ENGINE_TEST</x:v>
      </x:c>
      <x:c r="J96" s="12" t="str">
        <x:v>M</x:v>
      </x:c>
      <x:c r="K96" s="12" t="str">
        <x:v>reports/tasks/T-060304/evidence.json</x:v>
      </x:c>
      <x:c r="L96" s="12" t="str">
        <x:v>tasks/T-060304.md</x:v>
      </x:c>
      <x:c r="M96" s="12" t="str">
        <x:v>none</x:v>
      </x:c>
    </x:row>
    <x:row r="97" ht="58" customHeight="1">
      <x:c r="A97" s="12" t="str">
        <x:v>T-060401</x:v>
      </x:c>
      <x:c r="B97" s="12" t="str">
        <x:v>S06</x:v>
      </x:c>
      <x:c r="C97" s="12" t="str">
        <x:v>ST-0604</x:v>
      </x:c>
      <x:c r="D97" s="12" t="str">
        <x:v>NARRATIVE_AGENT</x:v>
      </x:c>
      <x:c r="E97" s="12" t="str">
        <x:v>Ghép đoạn về nhà và timeline chuông placeholder</x:v>
      </x:c>
      <x:c r="F97" s="12" t="str">
        <x:v>NOT_STARTED</x:v>
      </x:c>
      <x:c r="G97" s="12" t="str">
        <x:v>T-060201, T-060202, T-060203, T-060204, T-060301, T-060302, T-060303, T-060304</x:v>
      </x:c>
      <x:c r="H97" s="12" t="str">
        <x:v>scenes/levels/ch01_slice.tscn</x:v>
      </x:c>
      <x:c r="I97" s="12" t="str">
        <x:v>ARTIFACT_REVIEW</x:v>
      </x:c>
      <x:c r="J97" s="12" t="str">
        <x:v>L</x:v>
      </x:c>
      <x:c r="K97" s="12" t="str">
        <x:v>reports/tasks/T-060401/evidence.json</x:v>
      </x:c>
      <x:c r="L97" s="12" t="str">
        <x:v>tasks/T-060401.md</x:v>
      </x:c>
      <x:c r="M97" s="12" t="str">
        <x:v>none</x:v>
      </x:c>
    </x:row>
    <x:row r="98" ht="58" customHeight="1">
      <x:c r="A98" s="12" t="str">
        <x:v>T-060402</x:v>
      </x:c>
      <x:c r="B98" s="12" t="str">
        <x:v>S06</x:v>
      </x:c>
      <x:c r="C98" s="12" t="str">
        <x:v>ST-0604</x:v>
      </x:c>
      <x:c r="D98" s="12" t="str">
        <x:v>AUDIO_AGENT</x:v>
      </x:c>
      <x:c r="E98" s="12" t="str">
        <x:v>Thiết kế motif ba tiếng chuông và khoảng im lặng</x:v>
      </x:c>
      <x:c r="F98" s="12" t="str">
        <x:v>NOT_STARTED</x:v>
      </x:c>
      <x:c r="G98" s="12" t="str">
        <x:v>T-060201, T-060202, T-060203, T-060204, T-060301, T-060302, T-060303, T-060304, T-060401</x:v>
      </x:c>
      <x:c r="H98" s="12" t="str">
        <x:v>audio/sfx/bell_motif/</x:v>
      </x:c>
      <x:c r="I98" s="12" t="str">
        <x:v>ARTIFACT_REVIEW, AUDIO_REVIEW</x:v>
      </x:c>
      <x:c r="J98" s="12" t="str">
        <x:v>L</x:v>
      </x:c>
      <x:c r="K98" s="12" t="str">
        <x:v>reports/tasks/T-060402/evidence.json</x:v>
      </x:c>
      <x:c r="L98" s="12" t="str">
        <x:v>tasks/T-060402.md</x:v>
      </x:c>
      <x:c r="M98" s="12" t="str">
        <x:v>none</x:v>
      </x:c>
    </x:row>
    <x:row r="99" ht="58" customHeight="1">
      <x:c r="A99" s="12" t="str">
        <x:v>T-060403</x:v>
      </x:c>
      <x:c r="B99" s="12" t="str">
        <x:v>S06</x:v>
      </x:c>
      <x:c r="C99" s="12" t="str">
        <x:v>ST-0604</x:v>
      </x:c>
      <x:c r="D99" s="12" t="str">
        <x:v>GAMEPLAY_AGENT</x:v>
      </x:c>
      <x:c r="E99" s="12" t="str">
        <x:v>Kiểm tra lock stack và caption race</x:v>
      </x:c>
      <x:c r="F99" s="12" t="str">
        <x:v>NOT_STARTED</x:v>
      </x:c>
      <x:c r="G99" s="12" t="str">
        <x:v>T-060201, T-060202, T-060203, T-060204, T-060301, T-060302, T-060303, T-060304, T-060402</x:v>
      </x:c>
      <x:c r="H99" s="12" t="str">
        <x:v>reports/S06/narrative_integration.md</x:v>
      </x:c>
      <x:c r="I99" s="12" t="str">
        <x:v>ARTIFACT_REVIEW, ENGINE_TEST</x:v>
      </x:c>
      <x:c r="J99" s="12" t="str">
        <x:v>L</x:v>
      </x:c>
      <x:c r="K99" s="12" t="str">
        <x:v>reports/tasks/T-060403/evidence.json</x:v>
      </x:c>
      <x:c r="L99" s="12" t="str">
        <x:v>tasks/T-060403.md</x:v>
      </x:c>
      <x:c r="M99" s="12" t="str">
        <x:v>none</x:v>
      </x:c>
    </x:row>
    <x:row r="100" ht="58" customHeight="1">
      <x:c r="A100" s="12" t="str">
        <x:v>T-060404</x:v>
      </x:c>
      <x:c r="B100" s="12" t="str">
        <x:v>S06</x:v>
      </x:c>
      <x:c r="C100" s="12" t="str">
        <x:v>ST-0604</x:v>
      </x:c>
      <x:c r="D100" s="12" t="str">
        <x:v>ORCHESTRATOR</x:v>
      </x:c>
      <x:c r="E100" s="12" t="str">
        <x:v>Review pacing và lưu build baseline</x:v>
      </x:c>
      <x:c r="F100" s="12" t="str">
        <x:v>NOT_STARTED</x:v>
      </x:c>
      <x:c r="G100" s="12" t="str">
        <x:v>T-060201, T-060202, T-060203, T-060204, T-060301, T-060302, T-060303, T-060304, T-060403</x:v>
      </x:c>
      <x:c r="H100" s="12" t="str">
        <x:v>reports/S06/review.md</x:v>
      </x:c>
      <x:c r="I100" s="12" t="str">
        <x:v>ARTIFACT_REVIEW</x:v>
      </x:c>
      <x:c r="J100" s="12" t="str">
        <x:v>S</x:v>
      </x:c>
      <x:c r="K100" s="12" t="str">
        <x:v>reports/tasks/T-060404/evidence.json</x:v>
      </x:c>
      <x:c r="L100" s="12" t="str">
        <x:v>tasks/T-060404.md</x:v>
      </x:c>
      <x:c r="M100" s="12" t="str">
        <x:v>none</x:v>
      </x:c>
    </x:row>
    <x:row r="101" ht="58" customHeight="1">
      <x:c r="A101" s="12" t="str">
        <x:v>T-070101</x:v>
      </x:c>
      <x:c r="B101" s="12" t="str">
        <x:v>S07</x:v>
      </x:c>
      <x:c r="C101" s="12" t="str">
        <x:v>ST-0701</x:v>
      </x:c>
      <x:c r="D101" s="12" t="str">
        <x:v>GAMEPLAY_AGENT</x:v>
      </x:c>
      <x:c r="E101" s="12" t="str">
        <x:v>Khóa beat sheet và camera cho CH01 hoàn chỉnh</x:v>
      </x:c>
      <x:c r="F101" s="12" t="str">
        <x:v>NOT_STARTED</x:v>
      </x:c>
      <x:c r="G101" s="12" t="str">
        <x:v>T-060401, T-060402, T-060403, T-060404</x:v>
      </x:c>
      <x:c r="H101" s="12" t="str">
        <x:v>docs/chapters/ch01_slice.md</x:v>
      </x:c>
      <x:c r="I101" s="12" t="str">
        <x:v>ARTIFACT_REVIEW, ENGINE_TEST, RENDERED_RUNTIME</x:v>
      </x:c>
      <x:c r="J101" s="12" t="str">
        <x:v>M</x:v>
      </x:c>
      <x:c r="K101" s="12" t="str">
        <x:v>reports/tasks/T-070101/evidence.json</x:v>
      </x:c>
      <x:c r="L101" s="12" t="str">
        <x:v>tasks/T-070101.md</x:v>
      </x:c>
      <x:c r="M101" s="12" t="str">
        <x:v>none</x:v>
      </x:c>
    </x:row>
    <x:row r="102" ht="58" customHeight="1">
      <x:c r="A102" s="12" t="str">
        <x:v>T-070102</x:v>
      </x:c>
      <x:c r="B102" s="12" t="str">
        <x:v>S07</x:v>
      </x:c>
      <x:c r="C102" s="12" t="str">
        <x:v>ST-0701</x:v>
      </x:c>
      <x:c r="D102" s="12" t="str">
        <x:v>GAMEPLAY_AGENT</x:v>
      </x:c>
      <x:c r="E102" s="12" t="str">
        <x:v>Dựng route NPC → nhà Minh → đất trống → H01</x:v>
      </x:c>
      <x:c r="F102" s="12" t="str">
        <x:v>NOT_STARTED</x:v>
      </x:c>
      <x:c r="G102" s="12" t="str">
        <x:v>T-060401, T-060402, T-060403, T-060404, T-070101</x:v>
      </x:c>
      <x:c r="H102" s="12" t="str">
        <x:v>scenes/levels/ch01_slice.tscn</x:v>
      </x:c>
      <x:c r="I102" s="12" t="str">
        <x:v>ARTIFACT_REVIEW, ENGINE_TEST</x:v>
      </x:c>
      <x:c r="J102" s="12" t="str">
        <x:v>L</x:v>
      </x:c>
      <x:c r="K102" s="12" t="str">
        <x:v>reports/tasks/T-070102/evidence.json</x:v>
      </x:c>
      <x:c r="L102" s="12" t="str">
        <x:v>tasks/T-070102.md</x:v>
      </x:c>
      <x:c r="M102" s="12" t="str">
        <x:v>none</x:v>
      </x:c>
    </x:row>
    <x:row r="103" ht="58" customHeight="1">
      <x:c r="A103" s="12" t="str">
        <x:v>T-070103</x:v>
      </x:c>
      <x:c r="B103" s="12" t="str">
        <x:v>S07</x:v>
      </x:c>
      <x:c r="C103" s="12" t="str">
        <x:v>ST-0701</x:v>
      </x:c>
      <x:c r="D103" s="12" t="str">
        <x:v>GAMEPLAY_AGENT</x:v>
      </x:c>
      <x:c r="E103" s="12" t="str">
        <x:v>Ghép cinematic biến mất và reveal áo vàng</x:v>
      </x:c>
      <x:c r="F103" s="12" t="str">
        <x:v>NOT_STARTED</x:v>
      </x:c>
      <x:c r="G103" s="12" t="str">
        <x:v>T-060401, T-060402, T-060403, T-060404, T-070102</x:v>
      </x:c>
      <x:c r="H103" s="12" t="str">
        <x:v>data/sequences/ch01/</x:v>
      </x:c>
      <x:c r="I103" s="12" t="str">
        <x:v>ARTIFACT_REVIEW, ENGINE_TEST</x:v>
      </x:c>
      <x:c r="J103" s="12" t="str">
        <x:v>M</x:v>
      </x:c>
      <x:c r="K103" s="12" t="str">
        <x:v>reports/tasks/T-070103/evidence.json</x:v>
      </x:c>
      <x:c r="L103" s="12" t="str">
        <x:v>tasks/T-070103.md</x:v>
      </x:c>
      <x:c r="M103" s="12" t="str">
        <x:v>none</x:v>
      </x:c>
    </x:row>
    <x:row r="104" ht="58" customHeight="1">
      <x:c r="A104" s="12" t="str">
        <x:v>T-070104</x:v>
      </x:c>
      <x:c r="B104" s="12" t="str">
        <x:v>S07</x:v>
      </x:c>
      <x:c r="C104" s="12" t="str">
        <x:v>ST-0701</x:v>
      </x:c>
      <x:c r="D104" s="12" t="str">
        <x:v>GAMEPLAY_AGENT</x:v>
      </x:c>
      <x:c r="E104" s="12" t="str">
        <x:v>Chạy một lượt không debug và ghi beat timing</x:v>
      </x:c>
      <x:c r="F104" s="12" t="str">
        <x:v>NOT_STARTED</x:v>
      </x:c>
      <x:c r="G104" s="12" t="str">
        <x:v>T-060401, T-060402, T-060403, T-060404, T-070103</x:v>
      </x:c>
      <x:c r="H104" s="12" t="str">
        <x:v>reports/S07/ch01_beat_times.csv</x:v>
      </x:c>
      <x:c r="I104" s="12" t="str">
        <x:v>ARTIFACT_REVIEW, ENGINE_TEST</x:v>
      </x:c>
      <x:c r="J104" s="12" t="str">
        <x:v>S</x:v>
      </x:c>
      <x:c r="K104" s="12" t="str">
        <x:v>reports/tasks/T-070104/evidence.json</x:v>
      </x:c>
      <x:c r="L104" s="12" t="str">
        <x:v>tasks/T-070104.md</x:v>
      </x:c>
      <x:c r="M104" s="12" t="str">
        <x:v>none</x:v>
      </x:c>
    </x:row>
    <x:row r="105" ht="58" customHeight="1">
      <x:c r="A105" s="12" t="str">
        <x:v>T-070201</x:v>
      </x:c>
      <x:c r="B105" s="12" t="str">
        <x:v>S07</x:v>
      </x:c>
      <x:c r="C105" s="12" t="str">
        <x:v>ST-0702</x:v>
      </x:c>
      <x:c r="D105" s="12" t="str">
        <x:v>GAMEPLAY_AGENT</x:v>
      </x:c>
      <x:c r="E105" s="12" t="str">
        <x:v>Thay key/photo placeholder bằng manh mối có ngữ cảnh</x:v>
      </x:c>
      <x:c r="F105" s="12" t="str">
        <x:v>NOT_STARTED</x:v>
      </x:c>
      <x:c r="G105" s="12" t="str">
        <x:v>T-070101, T-070102, T-070103, T-070104, T-070210</x:v>
      </x:c>
      <x:c r="H105" s="12" t="str">
        <x:v>data/puzzles/P01.json; data/puzzles/P02.json; data/puzzles/P03.json</x:v>
      </x:c>
      <x:c r="I105" s="12" t="str">
        <x:v>ARTIFACT_REVIEW, ENGINE_TEST</x:v>
      </x:c>
      <x:c r="J105" s="12" t="str">
        <x:v>M</x:v>
      </x:c>
      <x:c r="K105" s="12" t="str">
        <x:v>reports/tasks/T-070201/evidence.json</x:v>
      </x:c>
      <x:c r="L105" s="12" t="str">
        <x:v>tasks/T-070201.md</x:v>
      </x:c>
      <x:c r="M105" s="12" t="str">
        <x:v>none</x:v>
      </x:c>
    </x:row>
    <x:row r="106" ht="58" customHeight="1">
      <x:c r="A106" s="12" t="str">
        <x:v>T-070202</x:v>
      </x:c>
      <x:c r="B106" s="12" t="str">
        <x:v>S07</x:v>
      </x:c>
      <x:c r="C106" s="12" t="str">
        <x:v>ST-0702</x:v>
      </x:c>
      <x:c r="D106" s="12" t="str">
        <x:v>GAMEPLAY_AGENT</x:v>
      </x:c>
      <x:c r="E106" s="12" t="str">
        <x:v>Điều chỉnh đường đi và sightlines quanh H01</x:v>
      </x:c>
      <x:c r="F106" s="12" t="str">
        <x:v>NOT_STARTED</x:v>
      </x:c>
      <x:c r="G106" s="12" t="str">
        <x:v>T-070101, T-070102, T-070103, T-070104, T-070201</x:v>
      </x:c>
      <x:c r="H106" s="12" t="str">
        <x:v>scenes/levels/ch01_slice.tscn</x:v>
      </x:c>
      <x:c r="I106" s="12" t="str">
        <x:v>ARTIFACT_REVIEW, ENGINE_TEST</x:v>
      </x:c>
      <x:c r="J106" s="12" t="str">
        <x:v>L</x:v>
      </x:c>
      <x:c r="K106" s="12" t="str">
        <x:v>reports/tasks/T-070202/evidence.json</x:v>
      </x:c>
      <x:c r="L106" s="12" t="str">
        <x:v>tasks/T-070202.md</x:v>
      </x:c>
      <x:c r="M106" s="12" t="str">
        <x:v>none</x:v>
      </x:c>
    </x:row>
    <x:row r="107" ht="58" customHeight="1">
      <x:c r="A107" s="12" t="str">
        <x:v>T-070203</x:v>
      </x:c>
      <x:c r="B107" s="12" t="str">
        <x:v>S07</x:v>
      </x:c>
      <x:c r="C107" s="12" t="str">
        <x:v>ST-0702</x:v>
      </x:c>
      <x:c r="D107" s="12" t="str">
        <x:v>GAMEPLAY_AGENT</x:v>
      </x:c>
      <x:c r="E107" s="12" t="str">
        <x:v>Thêm ba tầng hint tự nguyện cho CH01</x:v>
      </x:c>
      <x:c r="F107" s="12" t="str">
        <x:v>NOT_STARTED</x:v>
      </x:c>
      <x:c r="G107" s="12" t="str">
        <x:v>T-070101, T-070102, T-070103, T-070104, T-070202</x:v>
      </x:c>
      <x:c r="H107" s="12" t="str">
        <x:v>data/hints/ch01.tres</x:v>
      </x:c>
      <x:c r="I107" s="12" t="str">
        <x:v>ARTIFACT_REVIEW, ENGINE_TEST</x:v>
      </x:c>
      <x:c r="J107" s="12" t="str">
        <x:v>M</x:v>
      </x:c>
      <x:c r="K107" s="12" t="str">
        <x:v>reports/tasks/T-070203/evidence.json</x:v>
      </x:c>
      <x:c r="L107" s="12" t="str">
        <x:v>tasks/T-070203.md</x:v>
      </x:c>
      <x:c r="M107" s="12" t="str">
        <x:v>none</x:v>
      </x:c>
    </x:row>
    <x:row r="108" ht="58" customHeight="1">
      <x:c r="A108" s="12" t="str">
        <x:v>T-070204</x:v>
      </x:c>
      <x:c r="B108" s="12" t="str">
        <x:v>S07</x:v>
      </x:c>
      <x:c r="C108" s="12" t="str">
        <x:v>ST-0702</x:v>
      </x:c>
      <x:c r="D108" s="12" t="str">
        <x:v>QA_AGENT</x:v>
      </x:c>
      <x:c r="E108" s="12" t="str">
        <x:v>Test reload ở từng bước puzzle</x:v>
      </x:c>
      <x:c r="F108" s="12" t="str">
        <x:v>NOT_STARTED</x:v>
      </x:c>
      <x:c r="G108" s="12" t="str">
        <x:v>T-070101, T-070102, T-070103, T-070104, T-070203</x:v>
      </x:c>
      <x:c r="H108" s="12" t="str">
        <x:v>reports/S07/h01_persistence.md</x:v>
      </x:c>
      <x:c r="I108" s="12" t="str">
        <x:v>ARTIFACT_REVIEW, ENGINE_TEST, RENDERED_RUNTIME</x:v>
      </x:c>
      <x:c r="J108" s="12" t="str">
        <x:v>S</x:v>
      </x:c>
      <x:c r="K108" s="12" t="str">
        <x:v>reports/tasks/T-070204/evidence.json</x:v>
      </x:c>
      <x:c r="L108" s="12" t="str">
        <x:v>tasks/T-070204.md</x:v>
      </x:c>
      <x:c r="M108" s="12" t="str">
        <x:v>none</x:v>
      </x:c>
    </x:row>
    <x:row r="109" ht="58" customHeight="1">
      <x:c r="A109" s="12" t="str">
        <x:v>T-070301</x:v>
      </x:c>
      <x:c r="B109" s="12" t="str">
        <x:v>S07</x:v>
      </x:c>
      <x:c r="C109" s="12" t="str">
        <x:v>ST-0703</x:v>
      </x:c>
      <x:c r="D109" s="12" t="str">
        <x:v>ART_AGENT</x:v>
      </x:c>
      <x:c r="E109" s="12" t="str">
        <x:v>Hoàn thiện vật liệu/UV street kit và H01</x:v>
      </x:c>
      <x:c r="F109" s="12" t="str">
        <x:v>NOT_STARTED</x:v>
      </x:c>
      <x:c r="G109" s="12" t="str">
        <x:v>T-050301, T-050302, T-050303, T-050304, T-070101, T-070102, T-070103, T-070104</x:v>
      </x:c>
      <x:c r="H109" s="12" t="str">
        <x:v>art/export/environment/village_kit_v1/</x:v>
      </x:c>
      <x:c r="I109" s="12" t="str">
        <x:v>ARTIFACT_REVIEW, RENDERED_RUNTIME</x:v>
      </x:c>
      <x:c r="J109" s="12" t="str">
        <x:v>L</x:v>
      </x:c>
      <x:c r="K109" s="12" t="str">
        <x:v>reports/tasks/T-070301/evidence.json</x:v>
      </x:c>
      <x:c r="L109" s="12" t="str">
        <x:v>tasks/T-070301.md</x:v>
      </x:c>
      <x:c r="M109" s="12" t="str">
        <x:v>none</x:v>
      </x:c>
    </x:row>
    <x:row r="110" ht="58" customHeight="1">
      <x:c r="A110" s="12" t="str">
        <x:v>T-070302</x:v>
      </x:c>
      <x:c r="B110" s="12" t="str">
        <x:v>S07</x:v>
      </x:c>
      <x:c r="C110" s="12" t="str">
        <x:v>ST-0703</x:v>
      </x:c>
      <x:c r="D110" s="12" t="str">
        <x:v>ART_AGENT</x:v>
      </x:c>
      <x:c r="E110" s="12" t="str">
        <x:v>Dựng prop kể chuyện bàn/ảnh/vật dụng H01</x:v>
      </x:c>
      <x:c r="F110" s="12" t="str">
        <x:v>NOT_STARTED</x:v>
      </x:c>
      <x:c r="G110" s="12" t="str">
        <x:v>T-050301, T-050302, T-050303, T-050304, T-070101, T-070102, T-070103, T-070104, T-070301</x:v>
      </x:c>
      <x:c r="H110" s="12" t="str">
        <x:v>art/export/props/h01/</x:v>
      </x:c>
      <x:c r="I110" s="12" t="str">
        <x:v>ARTIFACT_REVIEW, RENDERED_RUNTIME</x:v>
      </x:c>
      <x:c r="J110" s="12" t="str">
        <x:v>L</x:v>
      </x:c>
      <x:c r="K110" s="12" t="str">
        <x:v>reports/tasks/T-070302/evidence.json</x:v>
      </x:c>
      <x:c r="L110" s="12" t="str">
        <x:v>tasks/T-070302.md</x:v>
      </x:c>
      <x:c r="M110" s="12" t="str">
        <x:v>none</x:v>
      </x:c>
    </x:row>
    <x:row r="111" ht="58" customHeight="1">
      <x:c r="A111" s="12" t="str">
        <x:v>T-070303</x:v>
      </x:c>
      <x:c r="B111" s="12" t="str">
        <x:v>S07</x:v>
      </x:c>
      <x:c r="C111" s="12" t="str">
        <x:v>ST-0703</x:v>
      </x:c>
      <x:c r="D111" s="12" t="str">
        <x:v>ART_AGENT</x:v>
      </x:c>
      <x:c r="E111" s="12" t="str">
        <x:v>Dựng silhouette An và idle quay lưng</x:v>
      </x:c>
      <x:c r="F111" s="12" t="str">
        <x:v>NOT_STARTED</x:v>
      </x:c>
      <x:c r="G111" s="12" t="str">
        <x:v>T-050301, T-050302, T-050303, T-050304, T-070101, T-070102, T-070103, T-070104, T-070302</x:v>
      </x:c>
      <x:c r="H111" s="12" t="str">
        <x:v>art/export/characters/an_silhouette.glb</x:v>
      </x:c>
      <x:c r="I111" s="12" t="str">
        <x:v>ARTIFACT_REVIEW, RENDERED_RUNTIME</x:v>
      </x:c>
      <x:c r="J111" s="12" t="str">
        <x:v>L</x:v>
      </x:c>
      <x:c r="K111" s="12" t="str">
        <x:v>reports/tasks/T-070303/evidence.json</x:v>
      </x:c>
      <x:c r="L111" s="12" t="str">
        <x:v>tasks/T-070303.md</x:v>
      </x:c>
      <x:c r="M111" s="12" t="str">
        <x:v>none</x:v>
      </x:c>
    </x:row>
    <x:row r="112" ht="58" customHeight="1">
      <x:c r="A112" s="12" t="str">
        <x:v>T-070304</x:v>
      </x:c>
      <x:c r="B112" s="12" t="str">
        <x:v>S07</x:v>
      </x:c>
      <x:c r="C112" s="12" t="str">
        <x:v>ST-0703</x:v>
      </x:c>
      <x:c r="D112" s="12" t="str">
        <x:v>GAMEPLAY_AGENT</x:v>
      </x:c>
      <x:c r="E112" s="12" t="str">
        <x:v>Ghép art và kiểm tra navigation/camera không đổi</x:v>
      </x:c>
      <x:c r="F112" s="12" t="str">
        <x:v>NOT_STARTED</x:v>
      </x:c>
      <x:c r="G112" s="12" t="str">
        <x:v>T-050301, T-050302, T-050303, T-050304, T-070101, T-070102, T-070103, T-070104, T-070303</x:v>
      </x:c>
      <x:c r="H112" s="12" t="str">
        <x:v>reports/S07/art_integration.md</x:v>
      </x:c>
      <x:c r="I112" s="12" t="str">
        <x:v>ARTIFACT_REVIEW, ENGINE_TEST, RENDERED_RUNTIME</x:v>
      </x:c>
      <x:c r="J112" s="12" t="str">
        <x:v>M</x:v>
      </x:c>
      <x:c r="K112" s="12" t="str">
        <x:v>reports/tasks/T-070304/evidence.json</x:v>
      </x:c>
      <x:c r="L112" s="12" t="str">
        <x:v>tasks/T-070304.md</x:v>
      </x:c>
      <x:c r="M112" s="12" t="str">
        <x:v>none</x:v>
      </x:c>
    </x:row>
    <x:row r="113" ht="58" customHeight="1">
      <x:c r="A113" s="12" t="str">
        <x:v>T-070401</x:v>
      </x:c>
      <x:c r="B113" s="12" t="str">
        <x:v>S07</x:v>
      </x:c>
      <x:c r="C113" s="12" t="str">
        <x:v>ST-0704</x:v>
      </x:c>
      <x:c r="D113" s="12" t="str">
        <x:v>AUDIO_AGENT</x:v>
      </x:c>
      <x:c r="E113" s="12" t="str">
        <x:v>Dựng ambience làng/mưa/gió theo phase</x:v>
      </x:c>
      <x:c r="F113" s="12" t="str">
        <x:v>NOT_STARTED</x:v>
      </x:c>
      <x:c r="G113" s="12" t="str">
        <x:v>T-070201, T-070202, T-070203, T-070204, T-070301, T-070302, T-070303, T-070304</x:v>
      </x:c>
      <x:c r="H113" s="12" t="str">
        <x:v>audio/ambience/ch01/</x:v>
      </x:c>
      <x:c r="I113" s="12" t="str">
        <x:v>ARTIFACT_REVIEW, AUDIO_REVIEW</x:v>
      </x:c>
      <x:c r="J113" s="12" t="str">
        <x:v>L</x:v>
      </x:c>
      <x:c r="K113" s="12" t="str">
        <x:v>reports/tasks/T-070401/evidence.json</x:v>
      </x:c>
      <x:c r="L113" s="12" t="str">
        <x:v>tasks/T-070401.md</x:v>
      </x:c>
      <x:c r="M113" s="12" t="str">
        <x:v>none</x:v>
      </x:c>
    </x:row>
    <x:row r="114" ht="58" customHeight="1">
      <x:c r="A114" s="12" t="str">
        <x:v>T-070402</x:v>
      </x:c>
      <x:c r="B114" s="12" t="str">
        <x:v>S07</x:v>
      </x:c>
      <x:c r="C114" s="12" t="str">
        <x:v>ST-0704</x:v>
      </x:c>
      <x:c r="D114" s="12" t="str">
        <x:v>AUDIO_AGENT</x:v>
      </x:c>
      <x:c r="E114" s="12" t="str">
        <x:v>Tạo cue sheet và SFX tương tác H01</x:v>
      </x:c>
      <x:c r="F114" s="12" t="str">
        <x:v>NOT_STARTED</x:v>
      </x:c>
      <x:c r="G114" s="12" t="str">
        <x:v>T-070201, T-070202, T-070203, T-070204, T-070301, T-070302, T-070303, T-070304, T-070401</x:v>
      </x:c>
      <x:c r="H114" s="12" t="str">
        <x:v>audio/cue_sheets/ch01.csv</x:v>
      </x:c>
      <x:c r="I114" s="12" t="str">
        <x:v>ARTIFACT_REVIEW, AUDIO_REVIEW</x:v>
      </x:c>
      <x:c r="J114" s="12" t="str">
        <x:v>L</x:v>
      </x:c>
      <x:c r="K114" s="12" t="str">
        <x:v>reports/tasks/T-070402/evidence.json</x:v>
      </x:c>
      <x:c r="L114" s="12" t="str">
        <x:v>tasks/T-070402.md</x:v>
      </x:c>
      <x:c r="M114" s="12" t="str">
        <x:v>none</x:v>
      </x:c>
    </x:row>
    <x:row r="115" ht="58" customHeight="1">
      <x:c r="A115" s="12" t="str">
        <x:v>T-070403</x:v>
      </x:c>
      <x:c r="B115" s="12" t="str">
        <x:v>S07</x:v>
      </x:c>
      <x:c r="C115" s="12" t="str">
        <x:v>ST-0704</x:v>
      </x:c>
      <x:c r="D115" s="12" t="str">
        <x:v>GAMEPLAY_AGENT</x:v>
      </x:c>
      <x:c r="E115" s="12" t="str">
        <x:v>Mix in-engine và kiểm tra cinematic/puzzle</x:v>
      </x:c>
      <x:c r="F115" s="12" t="str">
        <x:v>NOT_STARTED</x:v>
      </x:c>
      <x:c r="G115" s="12" t="str">
        <x:v>T-070201, T-070202, T-070203, T-070204, T-070301, T-070302, T-070303, T-070304, T-070402</x:v>
      </x:c>
      <x:c r="H115" s="12" t="str">
        <x:v>scenes/levels/ch01_slice.tscn; reports/S07/mix.md</x:v>
      </x:c>
      <x:c r="I115" s="12" t="str">
        <x:v>ARTIFACT_REVIEW, ENGINE_TEST</x:v>
      </x:c>
      <x:c r="J115" s="12" t="str">
        <x:v>L</x:v>
      </x:c>
      <x:c r="K115" s="12" t="str">
        <x:v>reports/tasks/T-070403/evidence.json</x:v>
      </x:c>
      <x:c r="L115" s="12" t="str">
        <x:v>tasks/T-070403.md</x:v>
      </x:c>
      <x:c r="M115" s="12" t="str">
        <x:v>none</x:v>
      </x:c>
    </x:row>
    <x:row r="116" ht="58" customHeight="1">
      <x:c r="A116" s="12" t="str">
        <x:v>T-070404</x:v>
      </x:c>
      <x:c r="B116" s="12" t="str">
        <x:v>S07</x:v>
      </x:c>
      <x:c r="C116" s="12" t="str">
        <x:v>ST-0704</x:v>
      </x:c>
      <x:c r="D116" s="12" t="str">
        <x:v>ORCHESTRATOR</x:v>
      </x:c>
      <x:c r="E116" s="12" t="str">
        <x:v>Review slice và đóng sprint</x:v>
      </x:c>
      <x:c r="F116" s="12" t="str">
        <x:v>NOT_STARTED</x:v>
      </x:c>
      <x:c r="G116" s="12" t="str">
        <x:v>T-070201, T-070202, T-070203, T-070204, T-070301, T-070302, T-070303, T-070304, T-070403</x:v>
      </x:c>
      <x:c r="H116" s="12" t="str">
        <x:v>reports/S07/review.md</x:v>
      </x:c>
      <x:c r="I116" s="12" t="str">
        <x:v>ARTIFACT_REVIEW</x:v>
      </x:c>
      <x:c r="J116" s="12" t="str">
        <x:v>S</x:v>
      </x:c>
      <x:c r="K116" s="12" t="str">
        <x:v>reports/tasks/T-070404/evidence.json</x:v>
      </x:c>
      <x:c r="L116" s="12" t="str">
        <x:v>tasks/T-070404.md</x:v>
      </x:c>
      <x:c r="M116" s="12" t="str">
        <x:v>none</x:v>
      </x:c>
    </x:row>
    <x:row r="117" ht="58" customHeight="1">
      <x:c r="A117" s="12" t="str">
        <x:v>T-080101</x:v>
      </x:c>
      <x:c r="B117" s="12" t="str">
        <x:v>S08</x:v>
      </x:c>
      <x:c r="C117" s="12" t="str">
        <x:v>ST-0801</x:v>
      </x:c>
      <x:c r="D117" s="12" t="str">
        <x:v>GAMEPLAY_AGENT</x:v>
      </x:c>
      <x:c r="E117" s="12" t="str">
        <x:v>Khóa FSM và luật đèn/âm thanh/detection</x:v>
      </x:c>
      <x:c r="F117" s="12" t="str">
        <x:v>NOT_STARTED</x:v>
      </x:c>
      <x:c r="G117" s="12" t="str">
        <x:v>T-070401, T-070402, T-070403, T-070404</x:v>
      </x:c>
      <x:c r="H117" s="12" t="str">
        <x:v>docs/ai/knocker_rules.md</x:v>
      </x:c>
      <x:c r="I117" s="12" t="str">
        <x:v>ARTIFACT_REVIEW, ENGINE_TEST</x:v>
      </x:c>
      <x:c r="J117" s="12" t="str">
        <x:v>M</x:v>
      </x:c>
      <x:c r="K117" s="12" t="str">
        <x:v>reports/tasks/T-080101/evidence.json</x:v>
      </x:c>
      <x:c r="L117" s="12" t="str">
        <x:v>tasks/T-080101.md</x:v>
      </x:c>
      <x:c r="M117" s="12" t="str">
        <x:v>none</x:v>
      </x:c>
    </x:row>
    <x:row r="118" ht="58" customHeight="1">
      <x:c r="A118" s="12" t="str">
        <x:v>T-080102</x:v>
      </x:c>
      <x:c r="B118" s="12" t="str">
        <x:v>S08</x:v>
      </x:c>
      <x:c r="C118" s="12" t="str">
        <x:v>ST-0801</x:v>
      </x:c>
      <x:c r="D118" s="12" t="str">
        <x:v>GAMEPLAY_AGENT</x:v>
      </x:c>
      <x:c r="E118" s="12" t="str">
        <x:v>Implement patrol và navigation vùng encounter</x:v>
      </x:c>
      <x:c r="F118" s="12" t="str">
        <x:v>NOT_STARTED</x:v>
      </x:c>
      <x:c r="G118" s="12" t="str">
        <x:v>T-070401, T-070402, T-070403, T-070404, T-080101</x:v>
      </x:c>
      <x:c r="H118" s="12" t="str">
        <x:v>scripts/ai/knocker_controller.gd</x:v>
      </x:c>
      <x:c r="I118" s="12" t="str">
        <x:v>ARTIFACT_REVIEW, ENGINE_TEST</x:v>
      </x:c>
      <x:c r="J118" s="12" t="str">
        <x:v>L</x:v>
      </x:c>
      <x:c r="K118" s="12" t="str">
        <x:v>reports/tasks/T-080102/evidence.json</x:v>
      </x:c>
      <x:c r="L118" s="12" t="str">
        <x:v>tasks/T-080102.md</x:v>
      </x:c>
      <x:c r="M118" s="12" t="str">
        <x:v>none</x:v>
      </x:c>
    </x:row>
    <x:row r="119" ht="58" customHeight="1">
      <x:c r="A119" s="12" t="str">
        <x:v>T-080103</x:v>
      </x:c>
      <x:c r="B119" s="12" t="str">
        <x:v>S08</x:v>
      </x:c>
      <x:c r="C119" s="12" t="str">
        <x:v>ST-0801</x:v>
      </x:c>
      <x:c r="D119" s="12" t="str">
        <x:v>GAMEPLAY_AGENT</x:v>
      </x:c>
      <x:c r="E119" s="12" t="str">
        <x:v>Cài LOS/hearing và phase-filtered perception</x:v>
      </x:c>
      <x:c r="F119" s="12" t="str">
        <x:v>NOT_STARTED</x:v>
      </x:c>
      <x:c r="G119" s="12" t="str">
        <x:v>T-070401, T-070402, T-070403, T-070404, T-080102</x:v>
      </x:c>
      <x:c r="H119" s="12" t="str">
        <x:v>scripts/ai/knocker_senses.gd</x:v>
      </x:c>
      <x:c r="I119" s="12" t="str">
        <x:v>ARTIFACT_REVIEW, ENGINE_TEST</x:v>
      </x:c>
      <x:c r="J119" s="12" t="str">
        <x:v>L</x:v>
      </x:c>
      <x:c r="K119" s="12" t="str">
        <x:v>reports/tasks/T-080103/evidence.json</x:v>
      </x:c>
      <x:c r="L119" s="12" t="str">
        <x:v>tasks/T-080103.md</x:v>
      </x:c>
      <x:c r="M119" s="12" t="str">
        <x:v>none</x:v>
      </x:c>
    </x:row>
    <x:row r="120" ht="58" customHeight="1">
      <x:c r="A120" s="12" t="str">
        <x:v>T-080104</x:v>
      </x:c>
      <x:c r="B120" s="12" t="str">
        <x:v>S08</x:v>
      </x:c>
      <x:c r="C120" s="12" t="str">
        <x:v>ST-0801</x:v>
      </x:c>
      <x:c r="D120" s="12" t="str">
        <x:v>QA_AGENT</x:v>
      </x:c>
      <x:c r="E120" s="12" t="str">
        <x:v>Test FSM và reset deterministic</x:v>
      </x:c>
      <x:c r="F120" s="12" t="str">
        <x:v>NOT_STARTED</x:v>
      </x:c>
      <x:c r="G120" s="12" t="str">
        <x:v>T-070401, T-070402, T-070403, T-070404, T-080103</x:v>
      </x:c>
      <x:c r="H120" s="12" t="str">
        <x:v>tests/ai/</x:v>
      </x:c>
      <x:c r="I120" s="12" t="str">
        <x:v>ARTIFACT_REVIEW, ENGINE_TEST, RENDERED_RUNTIME</x:v>
      </x:c>
      <x:c r="J120" s="12" t="str">
        <x:v>S</x:v>
      </x:c>
      <x:c r="K120" s="12" t="str">
        <x:v>reports/tasks/T-080104/evidence.json</x:v>
      </x:c>
      <x:c r="L120" s="12" t="str">
        <x:v>tasks/T-080104.md</x:v>
      </x:c>
      <x:c r="M120" s="12" t="str">
        <x:v>none</x:v>
      </x:c>
    </x:row>
    <x:row r="121" ht="58" customHeight="1">
      <x:c r="A121" s="12" t="str">
        <x:v>T-080201</x:v>
      </x:c>
      <x:c r="B121" s="12" t="str">
        <x:v>S08</x:v>
      </x:c>
      <x:c r="C121" s="12" t="str">
        <x:v>ST-0802</x:v>
      </x:c>
      <x:c r="D121" s="12" t="str">
        <x:v>GAMEPLAY_AGENT</x:v>
      </x:c>
      <x:c r="E121" s="12" t="str">
        <x:v>Thiết kế cover pocket và đường rút lui</x:v>
      </x:c>
      <x:c r="F121" s="12" t="str">
        <x:v>NOT_STARTED</x:v>
      </x:c>
      <x:c r="G121" s="12" t="str">
        <x:v>T-080101, T-080102, T-080103, T-080104</x:v>
      </x:c>
      <x:c r="H121" s="12" t="str">
        <x:v>docs/encounters/ch01_knocker.md</x:v>
      </x:c>
      <x:c r="I121" s="12" t="str">
        <x:v>ARTIFACT_REVIEW, ENGINE_TEST</x:v>
      </x:c>
      <x:c r="J121" s="12" t="str">
        <x:v>M</x:v>
      </x:c>
      <x:c r="K121" s="12" t="str">
        <x:v>reports/tasks/T-080201/evidence.json</x:v>
      </x:c>
      <x:c r="L121" s="12" t="str">
        <x:v>tasks/T-080201.md</x:v>
      </x:c>
      <x:c r="M121" s="12" t="str">
        <x:v>none</x:v>
      </x:c>
    </x:row>
    <x:row r="122" ht="58" customHeight="1">
      <x:c r="A122" s="12" t="str">
        <x:v>T-080202</x:v>
      </x:c>
      <x:c r="B122" s="12" t="str">
        <x:v>S08</x:v>
      </x:c>
      <x:c r="C122" s="12" t="str">
        <x:v>ST-0802</x:v>
      </x:c>
      <x:c r="D122" s="12" t="str">
        <x:v>GAMEPLAY_AGENT</x:v>
      </x:c>
      <x:c r="E122" s="12" t="str">
        <x:v>Implement run/noise và detection feedback</x:v>
      </x:c>
      <x:c r="F122" s="12" t="str">
        <x:v>NOT_STARTED</x:v>
      </x:c>
      <x:c r="G122" s="12" t="str">
        <x:v>T-080101, T-080102, T-080103, T-080104, T-080201</x:v>
      </x:c>
      <x:c r="H122" s="12" t="str">
        <x:v>scripts/player/run_noise.gd</x:v>
      </x:c>
      <x:c r="I122" s="12" t="str">
        <x:v>ARTIFACT_REVIEW, ENGINE_TEST</x:v>
      </x:c>
      <x:c r="J122" s="12" t="str">
        <x:v>L</x:v>
      </x:c>
      <x:c r="K122" s="12" t="str">
        <x:v>reports/tasks/T-080202/evidence.json</x:v>
      </x:c>
      <x:c r="L122" s="12" t="str">
        <x:v>tasks/T-080202.md</x:v>
      </x:c>
      <x:c r="M122" s="12" t="str">
        <x:v>none</x:v>
      </x:c>
    </x:row>
    <x:row r="123" ht="58" customHeight="1">
      <x:c r="A123" s="12" t="str">
        <x:v>T-080203</x:v>
      </x:c>
      <x:c r="B123" s="12" t="str">
        <x:v>S08</x:v>
      </x:c>
      <x:c r="C123" s="12" t="str">
        <x:v>ST-0802</x:v>
      </x:c>
      <x:c r="D123" s="12" t="str">
        <x:v>GAMEPLAY_AGENT</x:v>
      </x:c>
      <x:c r="E123" s="12" t="str">
        <x:v>Cài capture/fade/checkpoint reload</x:v>
      </x:c>
      <x:c r="F123" s="12" t="str">
        <x:v>NOT_STARTED</x:v>
      </x:c>
      <x:c r="G123" s="12" t="str">
        <x:v>T-080101, T-080102, T-080103, T-080104, T-080202</x:v>
      </x:c>
      <x:c r="H123" s="12" t="str">
        <x:v>scripts/ai/capture_flow.gd</x:v>
      </x:c>
      <x:c r="I123" s="12" t="str">
        <x:v>ARTIFACT_REVIEW, ENGINE_TEST</x:v>
      </x:c>
      <x:c r="J123" s="12" t="str">
        <x:v>M</x:v>
      </x:c>
      <x:c r="K123" s="12" t="str">
        <x:v>reports/tasks/T-080203/evidence.json</x:v>
      </x:c>
      <x:c r="L123" s="12" t="str">
        <x:v>tasks/T-080203.md</x:v>
      </x:c>
      <x:c r="M123" s="12" t="str">
        <x:v>none</x:v>
      </x:c>
    </x:row>
    <x:row r="124" ht="58" customHeight="1">
      <x:c r="A124" s="12" t="str">
        <x:v>T-080204</x:v>
      </x:c>
      <x:c r="B124" s="12" t="str">
        <x:v>S08</x:v>
      </x:c>
      <x:c r="C124" s="12" t="str">
        <x:v>ST-0802</x:v>
      </x:c>
      <x:c r="D124" s="12" t="str">
        <x:v>GAMEPLAY_AGENT</x:v>
      </x:c>
      <x:c r="E124" s="12" t="str">
        <x:v>Thử bị bắt trong lúc switch và cinematic</x:v>
      </x:c>
      <x:c r="F124" s="12" t="str">
        <x:v>NOT_STARTED</x:v>
      </x:c>
      <x:c r="G124" s="12" t="str">
        <x:v>T-080101, T-080102, T-080103, T-080104, T-080203</x:v>
      </x:c>
      <x:c r="H124" s="12" t="str">
        <x:v>reports/S08/capture_edge_cases.md</x:v>
      </x:c>
      <x:c r="I124" s="12" t="str">
        <x:v>ARTIFACT_REVIEW, ENGINE_TEST</x:v>
      </x:c>
      <x:c r="J124" s="12" t="str">
        <x:v>S</x:v>
      </x:c>
      <x:c r="K124" s="12" t="str">
        <x:v>reports/tasks/T-080204/evidence.json</x:v>
      </x:c>
      <x:c r="L124" s="12" t="str">
        <x:v>tasks/T-080204.md</x:v>
      </x:c>
      <x:c r="M124" s="12" t="str">
        <x:v>none</x:v>
      </x:c>
    </x:row>
    <x:row r="125" ht="58" customHeight="1">
      <x:c r="A125" s="12" t="str">
        <x:v>T-080301</x:v>
      </x:c>
      <x:c r="B125" s="12" t="str">
        <x:v>S08</x:v>
      </x:c>
      <x:c r="C125" s="12" t="str">
        <x:v>ST-0803</x:v>
      </x:c>
      <x:c r="D125" s="12" t="str">
        <x:v>ART_AGENT</x:v>
      </x:c>
      <x:c r="E125" s="12" t="str">
        <x:v>Thiết kế và dựng mesh không mặt</x:v>
      </x:c>
      <x:c r="F125" s="12" t="str">
        <x:v>NOT_STARTED</x:v>
      </x:c>
      <x:c r="G125" s="12" t="str">
        <x:v>T-070301, T-070302, T-070303, T-070304, T-080101, T-080102, T-080103, T-080104</x:v>
      </x:c>
      <x:c r="H125" s="12" t="str">
        <x:v>art/source/knocker.blend</x:v>
      </x:c>
      <x:c r="I125" s="12" t="str">
        <x:v>ARTIFACT_REVIEW, RENDERED_RUNTIME</x:v>
      </x:c>
      <x:c r="J125" s="12" t="str">
        <x:v>L</x:v>
      </x:c>
      <x:c r="K125" s="12" t="str">
        <x:v>reports/tasks/T-080301/evidence.json</x:v>
      </x:c>
      <x:c r="L125" s="12" t="str">
        <x:v>tasks/T-080301.md</x:v>
      </x:c>
      <x:c r="M125" s="12" t="str">
        <x:v>none</x:v>
      </x:c>
    </x:row>
    <x:row r="126" ht="58" customHeight="1">
      <x:c r="A126" s="12" t="str">
        <x:v>T-080302</x:v>
      </x:c>
      <x:c r="B126" s="12" t="str">
        <x:v>S08</x:v>
      </x:c>
      <x:c r="C126" s="12" t="str">
        <x:v>ST-0803</x:v>
      </x:c>
      <x:c r="D126" s="12" t="str">
        <x:v>ART_AGENT</x:v>
      </x:c>
      <x:c r="E126" s="12" t="str">
        <x:v>Rig và làm patrol/knock loop</x:v>
      </x:c>
      <x:c r="F126" s="12" t="str">
        <x:v>NOT_STARTED</x:v>
      </x:c>
      <x:c r="G126" s="12" t="str">
        <x:v>T-070301, T-070302, T-070303, T-070304, T-080101, T-080102, T-080103, T-080104, T-080301</x:v>
      </x:c>
      <x:c r="H126" s="12" t="str">
        <x:v>art/export/characters/knocker_motion.glb</x:v>
      </x:c>
      <x:c r="I126" s="12" t="str">
        <x:v>ARTIFACT_REVIEW, RENDERED_RUNTIME</x:v>
      </x:c>
      <x:c r="J126" s="12" t="str">
        <x:v>L</x:v>
      </x:c>
      <x:c r="K126" s="12" t="str">
        <x:v>reports/tasks/T-080302/evidence.json</x:v>
      </x:c>
      <x:c r="L126" s="12" t="str">
        <x:v>tasks/T-080302.md</x:v>
      </x:c>
      <x:c r="M126" s="12" t="str">
        <x:v>none</x:v>
      </x:c>
    </x:row>
    <x:row r="127" ht="58" customHeight="1">
      <x:c r="A127" s="12" t="str">
        <x:v>T-080303</x:v>
      </x:c>
      <x:c r="B127" s="12" t="str">
        <x:v>S08</x:v>
      </x:c>
      <x:c r="C127" s="12" t="str">
        <x:v>ST-0803</x:v>
      </x:c>
      <x:c r="D127" s="12" t="str">
        <x:v>ART_AGENT</x:v>
      </x:c>
      <x:c r="E127" s="12" t="str">
        <x:v>Làm chase/capture/recover tối giản</x:v>
      </x:c>
      <x:c r="F127" s="12" t="str">
        <x:v>NOT_STARTED</x:v>
      </x:c>
      <x:c r="G127" s="12" t="str">
        <x:v>T-070301, T-070302, T-070303, T-070304, T-080101, T-080102, T-080103, T-080104, T-080302</x:v>
      </x:c>
      <x:c r="H127" s="12" t="str">
        <x:v>art/export/characters/knocker_capture.glb</x:v>
      </x:c>
      <x:c r="I127" s="12" t="str">
        <x:v>ARTIFACT_REVIEW, RENDERED_RUNTIME</x:v>
      </x:c>
      <x:c r="J127" s="12" t="str">
        <x:v>L</x:v>
      </x:c>
      <x:c r="K127" s="12" t="str">
        <x:v>reports/tasks/T-080303/evidence.json</x:v>
      </x:c>
      <x:c r="L127" s="12" t="str">
        <x:v>tasks/T-080303.md</x:v>
      </x:c>
      <x:c r="M127" s="12" t="str">
        <x:v>none</x:v>
      </x:c>
    </x:row>
    <x:row r="128" ht="58" customHeight="1">
      <x:c r="A128" s="12" t="str">
        <x:v>T-080304</x:v>
      </x:c>
      <x:c r="B128" s="12" t="str">
        <x:v>S08</x:v>
      </x:c>
      <x:c r="C128" s="12" t="str">
        <x:v>ST-0803</x:v>
      </x:c>
      <x:c r="D128" s="12" t="str">
        <x:v>GAMEPLAY_AGENT</x:v>
      </x:c>
      <x:c r="E128" s="12" t="str">
        <x:v>Gắn model và cue animation vào FSM</x:v>
      </x:c>
      <x:c r="F128" s="12" t="str">
        <x:v>NOT_STARTED</x:v>
      </x:c>
      <x:c r="G128" s="12" t="str">
        <x:v>T-070301, T-070302, T-070303, T-070304, T-080101, T-080102, T-080103, T-080104, T-080303</x:v>
      </x:c>
      <x:c r="H128" s="12" t="str">
        <x:v>scenes/ai/knocker.tscn</x:v>
      </x:c>
      <x:c r="I128" s="12" t="str">
        <x:v>ARTIFACT_REVIEW, ENGINE_TEST</x:v>
      </x:c>
      <x:c r="J128" s="12" t="str">
        <x:v>M</x:v>
      </x:c>
      <x:c r="K128" s="12" t="str">
        <x:v>reports/tasks/T-080304/evidence.json</x:v>
      </x:c>
      <x:c r="L128" s="12" t="str">
        <x:v>tasks/T-080304.md</x:v>
      </x:c>
      <x:c r="M128" s="12" t="str">
        <x:v>none</x:v>
      </x:c>
    </x:row>
    <x:row r="129" ht="58" customHeight="1">
      <x:c r="A129" s="12" t="str">
        <x:v>T-080401</x:v>
      </x:c>
      <x:c r="B129" s="12" t="str">
        <x:v>S08</x:v>
      </x:c>
      <x:c r="C129" s="12" t="str">
        <x:v>ST-0804</x:v>
      </x:c>
      <x:c r="D129" s="12" t="str">
        <x:v>AUDIO_AGENT</x:v>
      </x:c>
      <x:c r="E129" s="12" t="str">
        <x:v>Làm cue knock/detection/chase cho encounter</x:v>
      </x:c>
      <x:c r="F129" s="12" t="str">
        <x:v>NOT_STARTED</x:v>
      </x:c>
      <x:c r="G129" s="12" t="str">
        <x:v>T-080201, T-080202, T-080203, T-080204, T-080301, T-080302, T-080303, T-080304</x:v>
      </x:c>
      <x:c r="H129" s="12" t="str">
        <x:v>audio/sfx/knocker/</x:v>
      </x:c>
      <x:c r="I129" s="12" t="str">
        <x:v>ARTIFACT_REVIEW, AUDIO_REVIEW</x:v>
      </x:c>
      <x:c r="J129" s="12" t="str">
        <x:v>L</x:v>
      </x:c>
      <x:c r="K129" s="12" t="str">
        <x:v>reports/tasks/T-080401/evidence.json</x:v>
      </x:c>
      <x:c r="L129" s="12" t="str">
        <x:v>tasks/T-080401.md</x:v>
      </x:c>
      <x:c r="M129" s="12" t="str">
        <x:v>none</x:v>
      </x:c>
    </x:row>
    <x:row r="130" ht="58" customHeight="1">
      <x:c r="A130" s="12" t="str">
        <x:v>T-080402</x:v>
      </x:c>
      <x:c r="B130" s="12" t="str">
        <x:v>S08</x:v>
      </x:c>
      <x:c r="C130" s="12" t="str">
        <x:v>ST-0804</x:v>
      </x:c>
      <x:c r="D130" s="12" t="str">
        <x:v>GAMEPLAY_AGENT</x:v>
      </x:c>
      <x:c r="E130" s="12" t="str">
        <x:v>Tích hợp encounter và điểm xuất hiện An</x:v>
      </x:c>
      <x:c r="F130" s="12" t="str">
        <x:v>NOT_STARTED</x:v>
      </x:c>
      <x:c r="G130" s="12" t="str">
        <x:v>T-080201, T-080202, T-080203, T-080204, T-080301, T-080302, T-080303, T-080304, T-080401</x:v>
      </x:c>
      <x:c r="H130" s="12" t="str">
        <x:v>scenes/levels/ch01_slice.tscn</x:v>
      </x:c>
      <x:c r="I130" s="12" t="str">
        <x:v>ARTIFACT_REVIEW, ENGINE_TEST</x:v>
      </x:c>
      <x:c r="J130" s="12" t="str">
        <x:v>L</x:v>
      </x:c>
      <x:c r="K130" s="12" t="str">
        <x:v>reports/tasks/T-080402/evidence.json</x:v>
      </x:c>
      <x:c r="L130" s="12" t="str">
        <x:v>tasks/T-080402.md</x:v>
      </x:c>
      <x:c r="M130" s="12" t="str">
        <x:v>none</x:v>
      </x:c>
    </x:row>
    <x:row r="131" ht="58" customHeight="1">
      <x:c r="A131" s="12" t="str">
        <x:v>T-080403</x:v>
      </x:c>
      <x:c r="B131" s="12" t="str">
        <x:v>S08</x:v>
      </x:c>
      <x:c r="C131" s="12" t="str">
        <x:v>ST-0804</x:v>
      </x:c>
      <x:c r="D131" s="12" t="str">
        <x:v>QA_AGENT</x:v>
      </x:c>
      <x:c r="E131" s="12" t="str">
        <x:v>Chạy path/detection/retry matrix</x:v>
      </x:c>
      <x:c r="F131" s="12" t="str">
        <x:v>NOT_STARTED</x:v>
      </x:c>
      <x:c r="G131" s="12" t="str">
        <x:v>T-080201, T-080202, T-080203, T-080204, T-080301, T-080302, T-080303, T-080304, T-080402</x:v>
      </x:c>
      <x:c r="H131" s="12" t="str">
        <x:v>reports/S08/encounter_matrix.md</x:v>
      </x:c>
      <x:c r="I131" s="12" t="str">
        <x:v>ARTIFACT_REVIEW, ENGINE_TEST, RENDERED_RUNTIME</x:v>
      </x:c>
      <x:c r="J131" s="12" t="str">
        <x:v>L</x:v>
      </x:c>
      <x:c r="K131" s="12" t="str">
        <x:v>reports/tasks/T-080403/evidence.json</x:v>
      </x:c>
      <x:c r="L131" s="12" t="str">
        <x:v>tasks/T-080403.md</x:v>
      </x:c>
      <x:c r="M131" s="12" t="str">
        <x:v>none</x:v>
      </x:c>
    </x:row>
    <x:row r="132" ht="58" customHeight="1">
      <x:c r="A132" s="12" t="str">
        <x:v>T-080404</x:v>
      </x:c>
      <x:c r="B132" s="12" t="str">
        <x:v>S08</x:v>
      </x:c>
      <x:c r="C132" s="12" t="str">
        <x:v>ST-0804</x:v>
      </x:c>
      <x:c r="D132" s="12" t="str">
        <x:v>ORCHESTRATOR</x:v>
      </x:c>
      <x:c r="E132" s="12" t="str">
        <x:v>Chốt tuning và ranh giới AI 1.0</x:v>
      </x:c>
      <x:c r="F132" s="12" t="str">
        <x:v>NOT_STARTED</x:v>
      </x:c>
      <x:c r="G132" s="12" t="str">
        <x:v>T-080201, T-080202, T-080203, T-080204, T-080301, T-080302, T-080303, T-080304, T-080403</x:v>
      </x:c>
      <x:c r="H132" s="12" t="str">
        <x:v>reports/S08/review.md</x:v>
      </x:c>
      <x:c r="I132" s="12" t="str">
        <x:v>ARTIFACT_REVIEW</x:v>
      </x:c>
      <x:c r="J132" s="12" t="str">
        <x:v>S</x:v>
      </x:c>
      <x:c r="K132" s="12" t="str">
        <x:v>reports/tasks/T-080404/evidence.json</x:v>
      </x:c>
      <x:c r="L132" s="12" t="str">
        <x:v>tasks/T-080404.md</x:v>
      </x:c>
      <x:c r="M132" s="12" t="str">
        <x:v>none</x:v>
      </x:c>
    </x:row>
    <x:row r="133" ht="58" customHeight="1">
      <x:c r="A133" s="12" t="str">
        <x:v>T-090101</x:v>
      </x:c>
      <x:c r="B133" s="12" t="str">
        <x:v>S09</x:v>
      </x:c>
      <x:c r="C133" s="12" t="str">
        <x:v>ST-0901</x:v>
      </x:c>
      <x:c r="D133" s="12" t="str">
        <x:v>GAMEPLAY_AGENT</x:v>
      </x:c>
      <x:c r="E133" s="12" t="str">
        <x:v>Dựng main/pause menu và flow scene</x:v>
      </x:c>
      <x:c r="F133" s="12" t="str">
        <x:v>NOT_STARTED</x:v>
      </x:c>
      <x:c r="G133" s="12" t="str">
        <x:v>T-080401, T-080402, T-080403, T-080404</x:v>
      </x:c>
      <x:c r="H133" s="12" t="str">
        <x:v>scenes/ui/main_menu.tscn; pause_menu.tscn</x:v>
      </x:c>
      <x:c r="I133" s="12" t="str">
        <x:v>ARTIFACT_REVIEW, ENGINE_TEST</x:v>
      </x:c>
      <x:c r="J133" s="12" t="str">
        <x:v>M</x:v>
      </x:c>
      <x:c r="K133" s="12" t="str">
        <x:v>reports/tasks/T-090101/evidence.json</x:v>
      </x:c>
      <x:c r="L133" s="12" t="str">
        <x:v>tasks/T-090101.md</x:v>
      </x:c>
      <x:c r="M133" s="12" t="str">
        <x:v>none</x:v>
      </x:c>
    </x:row>
    <x:row r="134" ht="58" customHeight="1">
      <x:c r="A134" s="12" t="str">
        <x:v>T-090102</x:v>
      </x:c>
      <x:c r="B134" s="12" t="str">
        <x:v>S09</x:v>
      </x:c>
      <x:c r="C134" s="12" t="str">
        <x:v>ST-0901</x:v>
      </x:c>
      <x:c r="D134" s="12" t="str">
        <x:v>GAMEPLAY_AGENT</x:v>
      </x:c>
      <x:c r="E134" s="12" t="str">
        <x:v>Cài settings audio/display cơ bản</x:v>
      </x:c>
      <x:c r="F134" s="12" t="str">
        <x:v>NOT_STARTED</x:v>
      </x:c>
      <x:c r="G134" s="12" t="str">
        <x:v>T-080401, T-080402, T-080403, T-080404, T-090101</x:v>
      </x:c>
      <x:c r="H134" s="12" t="str">
        <x:v>scripts/settings/settings_service.gd</x:v>
      </x:c>
      <x:c r="I134" s="12" t="str">
        <x:v>ARTIFACT_REVIEW, ENGINE_TEST</x:v>
      </x:c>
      <x:c r="J134" s="12" t="str">
        <x:v>L</x:v>
      </x:c>
      <x:c r="K134" s="12" t="str">
        <x:v>reports/tasks/T-090102/evidence.json</x:v>
      </x:c>
      <x:c r="L134" s="12" t="str">
        <x:v>tasks/T-090102.md</x:v>
      </x:c>
      <x:c r="M134" s="12" t="str">
        <x:v>none</x:v>
      </x:c>
    </x:row>
    <x:row r="135" ht="58" customHeight="1">
      <x:c r="A135" s="12" t="str">
        <x:v>T-090103</x:v>
      </x:c>
      <x:c r="B135" s="12" t="str">
        <x:v>S09</x:v>
      </x:c>
      <x:c r="C135" s="12" t="str">
        <x:v>ST-0901</x:v>
      </x:c>
      <x:c r="D135" s="12" t="str">
        <x:v>GAMEPLAY_AGENT</x:v>
      </x:c>
      <x:c r="E135" s="12" t="str">
        <x:v>Điều phối pause theo subsystem</x:v>
      </x:c>
      <x:c r="F135" s="12" t="str">
        <x:v>NOT_STARTED</x:v>
      </x:c>
      <x:c r="G135" s="12" t="str">
        <x:v>T-080401, T-080402, T-080403, T-080404, T-090102</x:v>
      </x:c>
      <x:c r="H135" s="12" t="str">
        <x:v>scripts/core/game_flow.gd</x:v>
      </x:c>
      <x:c r="I135" s="12" t="str">
        <x:v>ARTIFACT_REVIEW, ENGINE_TEST</x:v>
      </x:c>
      <x:c r="J135" s="12" t="str">
        <x:v>M</x:v>
      </x:c>
      <x:c r="K135" s="12" t="str">
        <x:v>reports/tasks/T-090103/evidence.json</x:v>
      </x:c>
      <x:c r="L135" s="12" t="str">
        <x:v>tasks/T-090103.md</x:v>
      </x:c>
      <x:c r="M135" s="12" t="str">
        <x:v>none</x:v>
      </x:c>
    </x:row>
    <x:row r="136" ht="58" customHeight="1">
      <x:c r="A136" s="12" t="str">
        <x:v>T-090104</x:v>
      </x:c>
      <x:c r="B136" s="12" t="str">
        <x:v>S09</x:v>
      </x:c>
      <x:c r="C136" s="12" t="str">
        <x:v>ST-0901</x:v>
      </x:c>
      <x:c r="D136" s="12" t="str">
        <x:v>QA_AGENT</x:v>
      </x:c>
      <x:c r="E136" s="12" t="str">
        <x:v>Test quit/continue/new game flow</x:v>
      </x:c>
      <x:c r="F136" s="12" t="str">
        <x:v>NOT_STARTED</x:v>
      </x:c>
      <x:c r="G136" s="12" t="str">
        <x:v>T-080401, T-080402, T-080403, T-080404, T-090103</x:v>
      </x:c>
      <x:c r="H136" s="12" t="str">
        <x:v>reports/S09/menu_flow.md</x:v>
      </x:c>
      <x:c r="I136" s="12" t="str">
        <x:v>ARTIFACT_REVIEW, ENGINE_TEST, RENDERED_RUNTIME</x:v>
      </x:c>
      <x:c r="J136" s="12" t="str">
        <x:v>S</x:v>
      </x:c>
      <x:c r="K136" s="12" t="str">
        <x:v>reports/tasks/T-090104/evidence.json</x:v>
      </x:c>
      <x:c r="L136" s="12" t="str">
        <x:v>tasks/T-090104.md</x:v>
      </x:c>
      <x:c r="M136" s="12" t="str">
        <x:v>none</x:v>
      </x:c>
    </x:row>
    <x:row r="137" ht="58" customHeight="1">
      <x:c r="A137" s="12" t="str">
        <x:v>T-090201</x:v>
      </x:c>
      <x:c r="B137" s="12" t="str">
        <x:v>S09</x:v>
      </x:c>
      <x:c r="C137" s="12" t="str">
        <x:v>ST-0902</x:v>
      </x:c>
      <x:c r="D137" s="12" t="str">
        <x:v>GAMEPLAY_AGENT</x:v>
      </x:c>
      <x:c r="E137" s="12" t="str">
        <x:v>Map gamepad actions và input glyph switching</x:v>
      </x:c>
      <x:c r="F137" s="12" t="str">
        <x:v>NOT_STARTED</x:v>
      </x:c>
      <x:c r="G137" s="12" t="str">
        <x:v>T-090101, T-090102, T-090103, T-090104</x:v>
      </x:c>
      <x:c r="H137" s="12" t="str">
        <x:v>scripts/input/input_device_service.gd</x:v>
      </x:c>
      <x:c r="I137" s="12" t="str">
        <x:v>ARTIFACT_REVIEW, ENGINE_TEST</x:v>
      </x:c>
      <x:c r="J137" s="12" t="str">
        <x:v>M</x:v>
      </x:c>
      <x:c r="K137" s="12" t="str">
        <x:v>reports/tasks/T-090201/evidence.json</x:v>
      </x:c>
      <x:c r="L137" s="12" t="str">
        <x:v>tasks/T-090201.md</x:v>
      </x:c>
      <x:c r="M137" s="12" t="str">
        <x:v>none</x:v>
      </x:c>
    </x:row>
    <x:row r="138" ht="58" customHeight="1">
      <x:c r="A138" s="12" t="str">
        <x:v>T-090202</x:v>
      </x:c>
      <x:c r="B138" s="12" t="str">
        <x:v>S09</x:v>
      </x:c>
      <x:c r="C138" s="12" t="str">
        <x:v>ST-0902</x:v>
      </x:c>
      <x:c r="D138" s="12" t="str">
        <x:v>QA_AGENT</x:v>
      </x:c>
      <x:c r="E138" s="12" t="str">
        <x:v>Cài focus navigation và hotplug</x:v>
      </x:c>
      <x:c r="F138" s="12" t="str">
        <x:v>NOT_STARTED</x:v>
      </x:c>
      <x:c r="G138" s="12" t="str">
        <x:v>T-090101, T-090102, T-090103, T-090104, T-090201</x:v>
      </x:c>
      <x:c r="H138" s="12" t="str">
        <x:v>scenes/ui/; tests/input/</x:v>
      </x:c>
      <x:c r="I138" s="12" t="str">
        <x:v>ARTIFACT_REVIEW, ENGINE_TEST, RENDERED_RUNTIME</x:v>
      </x:c>
      <x:c r="J138" s="12" t="str">
        <x:v>L</x:v>
      </x:c>
      <x:c r="K138" s="12" t="str">
        <x:v>reports/tasks/T-090202/evidence.json</x:v>
      </x:c>
      <x:c r="L138" s="12" t="str">
        <x:v>tasks/T-090202.md</x:v>
      </x:c>
      <x:c r="M138" s="12" t="str">
        <x:v>none</x:v>
      </x:c>
    </x:row>
    <x:row r="139" ht="58" customHeight="1">
      <x:c r="A139" s="12" t="str">
        <x:v>T-090203</x:v>
      </x:c>
      <x:c r="B139" s="12" t="str">
        <x:v>S09</x:v>
      </x:c>
      <x:c r="C139" s="12" t="str">
        <x:v>ST-0902</x:v>
      </x:c>
      <x:c r="D139" s="12" t="str">
        <x:v>GAMEPLAY_AGENT</x:v>
      </x:c>
      <x:c r="E139" s="12" t="str">
        <x:v>Cài font size/reduce camera shake/captions</x:v>
      </x:c>
      <x:c r="F139" s="12" t="str">
        <x:v>NOT_STARTED</x:v>
      </x:c>
      <x:c r="G139" s="12" t="str">
        <x:v>T-090101, T-090102, T-090103, T-090104, T-090202</x:v>
      </x:c>
      <x:c r="H139" s="12" t="str">
        <x:v>data/settings/accessibility.tres</x:v>
      </x:c>
      <x:c r="I139" s="12" t="str">
        <x:v>ARTIFACT_REVIEW, ENGINE_TEST, RENDERED_RUNTIME</x:v>
      </x:c>
      <x:c r="J139" s="12" t="str">
        <x:v>M</x:v>
      </x:c>
      <x:c r="K139" s="12" t="str">
        <x:v>reports/tasks/T-090203/evidence.json</x:v>
      </x:c>
      <x:c r="L139" s="12" t="str">
        <x:v>tasks/T-090203.md</x:v>
      </x:c>
      <x:c r="M139" s="12" t="str">
        <x:v>none</x:v>
      </x:c>
    </x:row>
    <x:row r="140" ht="58" customHeight="1">
      <x:c r="A140" s="12" t="str">
        <x:v>T-090204</x:v>
      </x:c>
      <x:c r="B140" s="12" t="str">
        <x:v>S09</x:v>
      </x:c>
      <x:c r="C140" s="12" t="str">
        <x:v>ST-0902</x:v>
      </x:c>
      <x:c r="D140" s="12" t="str">
        <x:v>QA_AGENT</x:v>
      </x:c>
      <x:c r="E140" s="12" t="str">
        <x:v>Test mute audio và chỉ gamepad</x:v>
      </x:c>
      <x:c r="F140" s="12" t="str">
        <x:v>NOT_STARTED</x:v>
      </x:c>
      <x:c r="G140" s="12" t="str">
        <x:v>T-090101, T-090102, T-090103, T-090104, T-090203</x:v>
      </x:c>
      <x:c r="H140" s="12" t="str">
        <x:v>reports/S09/accessibility_smoke.md</x:v>
      </x:c>
      <x:c r="I140" s="12" t="str">
        <x:v>ARTIFACT_REVIEW, ENGINE_TEST, RENDERED_RUNTIME</x:v>
      </x:c>
      <x:c r="J140" s="12" t="str">
        <x:v>S</x:v>
      </x:c>
      <x:c r="K140" s="12" t="str">
        <x:v>reports/tasks/T-090204/evidence.json</x:v>
      </x:c>
      <x:c r="L140" s="12" t="str">
        <x:v>tasks/T-090204.md</x:v>
      </x:c>
      <x:c r="M140" s="12" t="str">
        <x:v>none</x:v>
      </x:c>
    </x:row>
    <x:row r="141" ht="58" customHeight="1">
      <x:c r="A141" s="12" t="str">
        <x:v>T-090301</x:v>
      </x:c>
      <x:c r="B141" s="12" t="str">
        <x:v>S09</x:v>
      </x:c>
      <x:c r="C141" s="12" t="str">
        <x:v>ST-0903</x:v>
      </x:c>
      <x:c r="D141" s="12" t="str">
        <x:v>ART_AGENT</x:v>
      </x:c>
      <x:c r="E141" s="12" t="str">
        <x:v>Polish ánh sáng street và interior H01</x:v>
      </x:c>
      <x:c r="F141" s="12" t="str">
        <x:v>NOT_STARTED</x:v>
      </x:c>
      <x:c r="G141" s="12" t="str">
        <x:v>T-070301, T-070302, T-070303, T-070304, T-090101, T-090102, T-090103, T-090104</x:v>
      </x:c>
      <x:c r="H141" s="12" t="str">
        <x:v>art/lighting/ch01_presets/</x:v>
      </x:c>
      <x:c r="I141" s="12" t="str">
        <x:v>ARTIFACT_REVIEW, RENDERED_RUNTIME</x:v>
      </x:c>
      <x:c r="J141" s="12" t="str">
        <x:v>L</x:v>
      </x:c>
      <x:c r="K141" s="12" t="str">
        <x:v>reports/tasks/T-090301/evidence.json</x:v>
      </x:c>
      <x:c r="L141" s="12" t="str">
        <x:v>tasks/T-090301.md</x:v>
      </x:c>
      <x:c r="M141" s="12" t="str">
        <x:v>none</x:v>
      </x:c>
    </x:row>
    <x:row r="142" ht="58" customHeight="1">
      <x:c r="A142" s="12" t="str">
        <x:v>T-090302</x:v>
      </x:c>
      <x:c r="B142" s="12" t="str">
        <x:v>S09</x:v>
      </x:c>
      <x:c r="C142" s="12" t="str">
        <x:v>ST-0903</x:v>
      </x:c>
      <x:c r="D142" s="12" t="str">
        <x:v>ART_AGENT</x:v>
      </x:c>
      <x:c r="E142" s="12" t="str">
        <x:v>Làm rain/erasure VFX đơn giản</x:v>
      </x:c>
      <x:c r="F142" s="12" t="str">
        <x:v>NOT_STARTED</x:v>
      </x:c>
      <x:c r="G142" s="12" t="str">
        <x:v>T-070301, T-070302, T-070303, T-070304, T-090101, T-090102, T-090103, T-090104, T-090301</x:v>
      </x:c>
      <x:c r="H142" s="12" t="str">
        <x:v>art/vfx/ch01/</x:v>
      </x:c>
      <x:c r="I142" s="12" t="str">
        <x:v>ARTIFACT_REVIEW, RENDERED_RUNTIME</x:v>
      </x:c>
      <x:c r="J142" s="12" t="str">
        <x:v>L</x:v>
      </x:c>
      <x:c r="K142" s="12" t="str">
        <x:v>reports/tasks/T-090302/evidence.json</x:v>
      </x:c>
      <x:c r="L142" s="12" t="str">
        <x:v>tasks/T-090302.md</x:v>
      </x:c>
      <x:c r="M142" s="12" t="str">
        <x:v>none</x:v>
      </x:c>
    </x:row>
    <x:row r="143" ht="58" customHeight="1">
      <x:c r="A143" s="12" t="str">
        <x:v>T-090303</x:v>
      </x:c>
      <x:c r="B143" s="12" t="str">
        <x:v>S09</x:v>
      </x:c>
      <x:c r="C143" s="12" t="str">
        <x:v>ST-0903</x:v>
      </x:c>
      <x:c r="D143" s="12" t="str">
        <x:v>ART_AGENT</x:v>
      </x:c>
      <x:c r="E143" s="12" t="str">
        <x:v>Hoàn thiện người bán hàng biến thể rig chung</x:v>
      </x:c>
      <x:c r="F143" s="12" t="str">
        <x:v>NOT_STARTED</x:v>
      </x:c>
      <x:c r="G143" s="12" t="str">
        <x:v>T-070301, T-070302, T-070303, T-070304, T-090101, T-090102, T-090103, T-090104, T-090302</x:v>
      </x:c>
      <x:c r="H143" s="12" t="str">
        <x:v>art/export/characters/grocer.glb</x:v>
      </x:c>
      <x:c r="I143" s="12" t="str">
        <x:v>ARTIFACT_REVIEW, RENDERED_RUNTIME</x:v>
      </x:c>
      <x:c r="J143" s="12" t="str">
        <x:v>L</x:v>
      </x:c>
      <x:c r="K143" s="12" t="str">
        <x:v>reports/tasks/T-090303/evidence.json</x:v>
      </x:c>
      <x:c r="L143" s="12" t="str">
        <x:v>tasks/T-090303.md</x:v>
      </x:c>
      <x:c r="M143" s="12" t="str">
        <x:v>none</x:v>
      </x:c>
    </x:row>
    <x:row r="144" ht="58" customHeight="1">
      <x:c r="A144" s="12" t="str">
        <x:v>T-090304</x:v>
      </x:c>
      <x:c r="B144" s="12" t="str">
        <x:v>S09</x:v>
      </x:c>
      <x:c r="C144" s="12" t="str">
        <x:v>ST-0903</x:v>
      </x:c>
      <x:c r="D144" s="12" t="str">
        <x:v>QA_AGENT</x:v>
      </x:c>
      <x:c r="E144" s="12" t="str">
        <x:v>Ghép quality toggles và profile cảnh nặng</x:v>
      </x:c>
      <x:c r="F144" s="12" t="str">
        <x:v>NOT_STARTED</x:v>
      </x:c>
      <x:c r="G144" s="12" t="str">
        <x:v>T-070301, T-070302, T-070303, T-070304, T-090101, T-090102, T-090103, T-090104, T-090303</x:v>
      </x:c>
      <x:c r="H144" s="12" t="str">
        <x:v>reports/S09/visual_perf.md</x:v>
      </x:c>
      <x:c r="I144" s="12" t="str">
        <x:v>ARTIFACT_REVIEW, ENGINE_TEST, RENDERED_RUNTIME</x:v>
      </x:c>
      <x:c r="J144" s="12" t="str">
        <x:v>M</x:v>
      </x:c>
      <x:c r="K144" s="12" t="str">
        <x:v>reports/tasks/T-090304/evidence.json</x:v>
      </x:c>
      <x:c r="L144" s="12" t="str">
        <x:v>tasks/T-090304.md</x:v>
      </x:c>
      <x:c r="M144" s="12" t="str">
        <x:v>none</x:v>
      </x:c>
    </x:row>
    <x:row r="145" ht="58" customHeight="1">
      <x:c r="A145" s="12" t="str">
        <x:v>T-090401</x:v>
      </x:c>
      <x:c r="B145" s="12" t="str">
        <x:v>S09</x:v>
      </x:c>
      <x:c r="C145" s="12" t="str">
        <x:v>ST-0904</x:v>
      </x:c>
      <x:c r="D145" s="12" t="str">
        <x:v>QA_AGENT</x:v>
      </x:c>
      <x:c r="E145" s="12" t="str">
        <x:v>Chạy full slice regression và fix blockers</x:v>
      </x:c>
      <x:c r="F145" s="12" t="str">
        <x:v>NOT_STARTED</x:v>
      </x:c>
      <x:c r="G145" s="12" t="str">
        <x:v>T-090201, T-090202, T-090203, T-090204, T-090301, T-090302, T-090303, T-090304</x:v>
      </x:c>
      <x:c r="H145" s="12" t="str">
        <x:v>reports/S09/slice_regression.csv</x:v>
      </x:c>
      <x:c r="I145" s="12" t="str">
        <x:v>ARTIFACT_REVIEW, ENGINE_TEST, RENDERED_RUNTIME</x:v>
      </x:c>
      <x:c r="J145" s="12" t="str">
        <x:v>L</x:v>
      </x:c>
      <x:c r="K145" s="12" t="str">
        <x:v>reports/tasks/T-090401/evidence.json</x:v>
      </x:c>
      <x:c r="L145" s="12" t="str">
        <x:v>tasks/T-090401.md</x:v>
      </x:c>
      <x:c r="M145" s="12" t="str">
        <x:v>none</x:v>
      </x:c>
    </x:row>
    <x:row r="146" ht="58" customHeight="1">
      <x:c r="A146" s="12" t="str">
        <x:v>T-090402</x:v>
      </x:c>
      <x:c r="B146" s="12" t="str">
        <x:v>S09</x:v>
      </x:c>
      <x:c r="C146" s="12" t="str">
        <x:v>ST-0904</x:v>
      </x:c>
      <x:c r="D146" s="12" t="str">
        <x:v>GAMEPLAY_AGENT</x:v>
      </x:c>
      <x:c r="E146" s="12" t="str">
        <x:v>Đóng gói build, README và vấn đề đã biết</x:v>
      </x:c>
      <x:c r="F146" s="12" t="str">
        <x:v>NOT_STARTED</x:v>
      </x:c>
      <x:c r="G146" s="12" t="str">
        <x:v>T-090201, T-090202, T-090203, T-090204, T-090301, T-090302, T-090303, T-090304, T-090401</x:v>
      </x:c>
      <x:c r="H146" s="12" t="str">
        <x:v>build_manifest/S09.json</x:v>
      </x:c>
      <x:c r="I146" s="12" t="str">
        <x:v>ARTIFACT_REVIEW, ENGINE_TEST</x:v>
      </x:c>
      <x:c r="J146" s="12" t="str">
        <x:v>M</x:v>
      </x:c>
      <x:c r="K146" s="12" t="str">
        <x:v>reports/tasks/T-090402/evidence.json</x:v>
      </x:c>
      <x:c r="L146" s="12" t="str">
        <x:v>tasks/T-090402.md</x:v>
      </x:c>
      <x:c r="M146" s="12" t="str">
        <x:v>none</x:v>
      </x:c>
    </x:row>
    <x:row r="147" ht="58" customHeight="1">
      <x:c r="A147" s="12" t="str">
        <x:v>T-090403</x:v>
      </x:c>
      <x:c r="B147" s="12" t="str">
        <x:v>S09</x:v>
      </x:c>
      <x:c r="C147" s="12" t="str">
        <x:v>ST-0904</x:v>
      </x:c>
      <x:c r="D147" s="12" t="str">
        <x:v>QA_AGENT</x:v>
      </x:c>
      <x:c r="E147" s="12" t="str">
        <x:v>Cài thử trên máy Windows không có Godot</x:v>
      </x:c>
      <x:c r="F147" s="12" t="str">
        <x:v>NOT_STARTED</x:v>
      </x:c>
      <x:c r="G147" s="12" t="str">
        <x:v>T-090201, T-090202, T-090203, T-090204, T-090301, T-090302, T-090303, T-090304, T-090402</x:v>
      </x:c>
      <x:c r="H147" s="12" t="str">
        <x:v>reports/S09/clean_machine.md</x:v>
      </x:c>
      <x:c r="I147" s="12" t="str">
        <x:v>ARTIFACT_REVIEW, ENGINE_TEST, RENDERED_RUNTIME</x:v>
      </x:c>
      <x:c r="J147" s="12" t="str">
        <x:v>L</x:v>
      </x:c>
      <x:c r="K147" s="12" t="str">
        <x:v>reports/tasks/T-090403/evidence.json</x:v>
      </x:c>
      <x:c r="L147" s="12" t="str">
        <x:v>tasks/T-090403.md</x:v>
      </x:c>
      <x:c r="M147" s="12" t="str">
        <x:v>none</x:v>
      </x:c>
    </x:row>
    <x:row r="148" ht="58" customHeight="1">
      <x:c r="A148" s="12" t="str">
        <x:v>T-090404</x:v>
      </x:c>
      <x:c r="B148" s="12" t="str">
        <x:v>S09</x:v>
      </x:c>
      <x:c r="C148" s="12" t="str">
        <x:v>ST-0904</x:v>
      </x:c>
      <x:c r="D148" s="12" t="str">
        <x:v>ORCHESTRATOR</x:v>
      </x:c>
      <x:c r="E148" s="12" t="str">
        <x:v>Chuẩn bị tám profile slice không dùng đáp án ẩn</x:v>
      </x:c>
      <x:c r="F148" s="12" t="str">
        <x:v>NOT_STARTED</x:v>
      </x:c>
      <x:c r="G148" s="12" t="str">
        <x:v>T-090201, T-090202, T-090203, T-090204, T-090301, T-090302, T-090303, T-090304, T-090403</x:v>
      </x:c>
      <x:c r="H148" s="12" t="str">
        <x:v>reports/S09/slice_profile_plan.md</x:v>
      </x:c>
      <x:c r="I148" s="12" t="str">
        <x:v>ARTIFACT_REVIEW</x:v>
      </x:c>
      <x:c r="J148" s="12" t="str">
        <x:v>S</x:v>
      </x:c>
      <x:c r="K148" s="12" t="str">
        <x:v>reports/tasks/T-090404/evidence.json</x:v>
      </x:c>
      <x:c r="L148" s="12" t="str">
        <x:v>tasks/T-090404.md</x:v>
      </x:c>
      <x:c r="M148" s="12" t="str">
        <x:v>none</x:v>
      </x:c>
    </x:row>
    <x:row r="149" ht="58" customHeight="1">
      <x:c r="A149" s="12" t="str">
        <x:v>T-100101</x:v>
      </x:c>
      <x:c r="B149" s="12" t="str">
        <x:v>S10</x:v>
      </x:c>
      <x:c r="C149" s="12" t="str">
        <x:v>ST-1001</x:v>
      </x:c>
      <x:c r="D149" s="12" t="str">
        <x:v>QA_AGENT</x:v>
      </x:c>
      <x:c r="E149" s="12" t="str">
        <x:v>Tạo ma trận đánh giá vertical slice tám profile</x:v>
      </x:c>
      <x:c r="F149" s="12" t="str">
        <x:v>NOT_STARTED</x:v>
      </x:c>
      <x:c r="G149" s="12" t="str">
        <x:v>T-090401, T-090402, T-090403, T-090404</x:v>
      </x:c>
      <x:c r="H149" s="12" t="str">
        <x:v>reports/S10/playtest_protocol.md</x:v>
      </x:c>
      <x:c r="I149" s="12" t="str">
        <x:v>ARTIFACT_REVIEW, ENGINE_TEST, RENDERED_RUNTIME</x:v>
      </x:c>
      <x:c r="J149" s="12" t="str">
        <x:v>M</x:v>
      </x:c>
      <x:c r="K149" s="12" t="str">
        <x:v>reports/tasks/T-100101/evidence.json</x:v>
      </x:c>
      <x:c r="L149" s="12" t="str">
        <x:v>tasks/T-100101.md</x:v>
      </x:c>
      <x:c r="M149" s="12" t="str">
        <x:v>none</x:v>
      </x:c>
    </x:row>
    <x:row r="150" ht="58" customHeight="1">
      <x:c r="A150" s="12" t="str">
        <x:v>T-100102</x:v>
      </x:c>
      <x:c r="B150" s="12" t="str">
        <x:v>S10</x:v>
      </x:c>
      <x:c r="C150" s="12" t="str">
        <x:v>ST-1001</x:v>
      </x:c>
      <x:c r="D150" s="12" t="str">
        <x:v>QA_AGENT</x:v>
      </x:c>
      <x:c r="E150" s="12" t="str">
        <x:v>Chạy tám profile slice và lưu timestamp lỗi</x:v>
      </x:c>
      <x:c r="F150" s="12" t="str">
        <x:v>NOT_STARTED</x:v>
      </x:c>
      <x:c r="G150" s="12" t="str">
        <x:v>T-090401, T-090402, T-090403, T-090404, T-100101</x:v>
      </x:c>
      <x:c r="H150" s="12" t="str">
        <x:v>reports/S10/playtest_raw.csv</x:v>
      </x:c>
      <x:c r="I150" s="12" t="str">
        <x:v>ARTIFACT_REVIEW, ENGINE_TEST, RENDERED_RUNTIME</x:v>
      </x:c>
      <x:c r="J150" s="12" t="str">
        <x:v>L</x:v>
      </x:c>
      <x:c r="K150" s="12" t="str">
        <x:v>reports/tasks/T-100102/evidence.json</x:v>
      </x:c>
      <x:c r="L150" s="12" t="str">
        <x:v>tasks/T-100102.md</x:v>
      </x:c>
      <x:c r="M150" s="12" t="str">
        <x:v>none</x:v>
      </x:c>
    </x:row>
    <x:row r="151" ht="58" customHeight="1">
      <x:c r="A151" s="12" t="str">
        <x:v>T-100103</x:v>
      </x:c>
      <x:c r="B151" s="12" t="str">
        <x:v>S10</x:v>
      </x:c>
      <x:c r="C151" s="12" t="str">
        <x:v>ST-1001</x:v>
      </x:c>
      <x:c r="D151" s="12" t="str">
        <x:v>QA_AGENT</x:v>
      </x:c>
      <x:c r="E151" s="12" t="str">
        <x:v>Chạy regression ở keyboard/gamepad</x:v>
      </x:c>
      <x:c r="F151" s="12" t="str">
        <x:v>NOT_STARTED</x:v>
      </x:c>
      <x:c r="G151" s="12" t="str">
        <x:v>T-090401, T-090402, T-090403, T-090404, T-100102</x:v>
      </x:c>
      <x:c r="H151" s="12" t="str">
        <x:v>reports/S10/regression.csv</x:v>
      </x:c>
      <x:c r="I151" s="12" t="str">
        <x:v>ARTIFACT_REVIEW, ENGINE_TEST, RENDERED_RUNTIME</x:v>
      </x:c>
      <x:c r="J151" s="12" t="str">
        <x:v>L</x:v>
      </x:c>
      <x:c r="K151" s="12" t="str">
        <x:v>reports/tasks/T-100103/evidence.json</x:v>
      </x:c>
      <x:c r="L151" s="12" t="str">
        <x:v>tasks/T-100103.md</x:v>
      </x:c>
      <x:c r="M151" s="12" t="str">
        <x:v>none</x:v>
      </x:c>
    </x:row>
    <x:row r="152" ht="58" customHeight="1">
      <x:c r="A152" s="12" t="str">
        <x:v>T-100104</x:v>
      </x:c>
      <x:c r="B152" s="12" t="str">
        <x:v>S10</x:v>
      </x:c>
      <x:c r="C152" s="12" t="str">
        <x:v>ST-1001</x:v>
      </x:c>
      <x:c r="D152" s="12" t="str">
        <x:v>GAMEPLAY_AGENT</x:v>
      </x:c>
      <x:c r="E152" s="12" t="str">
        <x:v>Tổng hợp phát hiện và ưu tiên sửa</x:v>
      </x:c>
      <x:c r="F152" s="12" t="str">
        <x:v>NOT_STARTED</x:v>
      </x:c>
      <x:c r="G152" s="12" t="str">
        <x:v>T-090401, T-090402, T-090403, T-090404, T-100103</x:v>
      </x:c>
      <x:c r="H152" s="12" t="str">
        <x:v>reports/S10/findings.md</x:v>
      </x:c>
      <x:c r="I152" s="12" t="str">
        <x:v>ARTIFACT_REVIEW, ENGINE_TEST</x:v>
      </x:c>
      <x:c r="J152" s="12" t="str">
        <x:v>M</x:v>
      </x:c>
      <x:c r="K152" s="12" t="str">
        <x:v>reports/tasks/T-100104/evidence.json</x:v>
      </x:c>
      <x:c r="L152" s="12" t="str">
        <x:v>tasks/T-100104.md</x:v>
      </x:c>
      <x:c r="M152" s="12" t="str">
        <x:v>none</x:v>
      </x:c>
    </x:row>
    <x:row r="153" ht="58" customHeight="1">
      <x:c r="A153" s="12" t="str">
        <x:v>T-100201</x:v>
      </x:c>
      <x:c r="B153" s="12" t="str">
        <x:v>S10</x:v>
      </x:c>
      <x:c r="C153" s="12" t="str">
        <x:v>ST-1002</x:v>
      </x:c>
      <x:c r="D153" s="12" t="str">
        <x:v>ORCHESTRATOR</x:v>
      </x:c>
      <x:c r="E153" s="12" t="str">
        <x:v>Phân loại root cause và chốt fix scope</x:v>
      </x:c>
      <x:c r="F153" s="12" t="str">
        <x:v>NOT_STARTED</x:v>
      </x:c>
      <x:c r="G153" s="12" t="str">
        <x:v>T-100101, T-100102, T-100103, T-100104</x:v>
      </x:c>
      <x:c r="H153" s="12" t="str">
        <x:v>reports/S10/fix_scope.md</x:v>
      </x:c>
      <x:c r="I153" s="12" t="str">
        <x:v>ARTIFACT_REVIEW</x:v>
      </x:c>
      <x:c r="J153" s="12" t="str">
        <x:v>M</x:v>
      </x:c>
      <x:c r="K153" s="12" t="str">
        <x:v>reports/tasks/T-100201/evidence.json</x:v>
      </x:c>
      <x:c r="L153" s="12" t="str">
        <x:v>tasks/T-100201.md</x:v>
      </x:c>
      <x:c r="M153" s="12" t="str">
        <x:v>none</x:v>
      </x:c>
    </x:row>
    <x:row r="154" ht="58" customHeight="1">
      <x:c r="A154" s="12" t="str">
        <x:v>T-100202</x:v>
      </x:c>
      <x:c r="B154" s="12" t="str">
        <x:v>S10</x:v>
      </x:c>
      <x:c r="C154" s="12" t="str">
        <x:v>ST-1002</x:v>
      </x:c>
      <x:c r="D154" s="12" t="str">
        <x:v>GAMEPLAY_AGENT</x:v>
      </x:c>
      <x:c r="E154" s="12" t="str">
        <x:v>Sửa nhóm issue camera/interaction trọng tâm</x:v>
      </x:c>
      <x:c r="F154" s="12" t="str">
        <x:v>NOT_STARTED</x:v>
      </x:c>
      <x:c r="G154" s="12" t="str">
        <x:v>T-100101, T-100102, T-100103, T-100104, T-100201</x:v>
      </x:c>
      <x:c r="H154" s="12" t="str">
        <x:v>scenes/levels/ch01_slice.tscn; scripts/</x:v>
      </x:c>
      <x:c r="I154" s="12" t="str">
        <x:v>ARTIFACT_REVIEW, ENGINE_TEST, RENDERED_RUNTIME</x:v>
      </x:c>
      <x:c r="J154" s="12" t="str">
        <x:v>L</x:v>
      </x:c>
      <x:c r="K154" s="12" t="str">
        <x:v>reports/tasks/T-100202/evidence.json</x:v>
      </x:c>
      <x:c r="L154" s="12" t="str">
        <x:v>tasks/T-100202.md</x:v>
      </x:c>
      <x:c r="M154" s="12" t="str">
        <x:v>none</x:v>
      </x:c>
    </x:row>
    <x:row r="155" ht="58" customHeight="1">
      <x:c r="A155" s="12" t="str">
        <x:v>T-100203</x:v>
      </x:c>
      <x:c r="B155" s="12" t="str">
        <x:v>S10</x:v>
      </x:c>
      <x:c r="C155" s="12" t="str">
        <x:v>ST-1002</x:v>
      </x:c>
      <x:c r="D155" s="12" t="str">
        <x:v>GAMEPLAY_AGENT</x:v>
      </x:c>
      <x:c r="E155" s="12" t="str">
        <x:v>Sửa nhóm issue puzzle/stealth trọng tâm</x:v>
      </x:c>
      <x:c r="F155" s="12" t="str">
        <x:v>NOT_STARTED</x:v>
      </x:c>
      <x:c r="G155" s="12" t="str">
        <x:v>T-100101, T-100102, T-100103, T-100104, T-100202</x:v>
      </x:c>
      <x:c r="H155" s="12" t="str">
        <x:v>data/hints/; data/ai/</x:v>
      </x:c>
      <x:c r="I155" s="12" t="str">
        <x:v>ARTIFACT_REVIEW, ENGINE_TEST</x:v>
      </x:c>
      <x:c r="J155" s="12" t="str">
        <x:v>L</x:v>
      </x:c>
      <x:c r="K155" s="12" t="str">
        <x:v>reports/tasks/T-100203/evidence.json</x:v>
      </x:c>
      <x:c r="L155" s="12" t="str">
        <x:v>tasks/T-100203.md</x:v>
      </x:c>
      <x:c r="M155" s="12" t="str">
        <x:v>none</x:v>
      </x:c>
    </x:row>
    <x:row r="156" ht="58" customHeight="1">
      <x:c r="A156" s="12" t="str">
        <x:v>T-100204</x:v>
      </x:c>
      <x:c r="B156" s="12" t="str">
        <x:v>S10</x:v>
      </x:c>
      <x:c r="C156" s="12" t="str">
        <x:v>ST-1002</x:v>
      </x:c>
      <x:c r="D156" s="12" t="str">
        <x:v>QA_AGENT</x:v>
      </x:c>
      <x:c r="E156" s="12" t="str">
        <x:v>Chạy retest 3 người hoặc lỗi đã tái hiện</x:v>
      </x:c>
      <x:c r="F156" s="12" t="str">
        <x:v>NOT_STARTED</x:v>
      </x:c>
      <x:c r="G156" s="12" t="str">
        <x:v>T-100101, T-100102, T-100103, T-100104, T-100203</x:v>
      </x:c>
      <x:c r="H156" s="12" t="str">
        <x:v>reports/S10/retest.md</x:v>
      </x:c>
      <x:c r="I156" s="12" t="str">
        <x:v>ARTIFACT_REVIEW, ENGINE_TEST, RENDERED_RUNTIME</x:v>
      </x:c>
      <x:c r="J156" s="12" t="str">
        <x:v>M</x:v>
      </x:c>
      <x:c r="K156" s="12" t="str">
        <x:v>reports/tasks/T-100204/evidence.json</x:v>
      </x:c>
      <x:c r="L156" s="12" t="str">
        <x:v>tasks/T-100204.md</x:v>
      </x:c>
      <x:c r="M156" s="12" t="str">
        <x:v>none</x:v>
      </x:c>
    </x:row>
    <x:row r="157" ht="58" customHeight="1">
      <x:c r="A157" s="12" t="str">
        <x:v>T-100301</x:v>
      </x:c>
      <x:c r="B157" s="12" t="str">
        <x:v>S10</x:v>
      </x:c>
      <x:c r="C157" s="12" t="str">
        <x:v>ST-1003</x:v>
      </x:c>
      <x:c r="D157" s="12" t="str">
        <x:v>ART_AGENT</x:v>
      </x:c>
      <x:c r="E157" s="12" t="str">
        <x:v>Sửa readability/tỷ lệ từ slice test</x:v>
      </x:c>
      <x:c r="F157" s="12" t="str">
        <x:v>NOT_STARTED</x:v>
      </x:c>
      <x:c r="G157" s="12" t="str">
        <x:v>T-100101, T-100102, T-100103, T-100104</x:v>
      </x:c>
      <x:c r="H157" s="12" t="str">
        <x:v>art/export/ch01_approved/</x:v>
      </x:c>
      <x:c r="I157" s="12" t="str">
        <x:v>ARTIFACT_REVIEW, RENDERED_RUNTIME</x:v>
      </x:c>
      <x:c r="J157" s="12" t="str">
        <x:v>L</x:v>
      </x:c>
      <x:c r="K157" s="12" t="str">
        <x:v>reports/tasks/T-100301/evidence.json</x:v>
      </x:c>
      <x:c r="L157" s="12" t="str">
        <x:v>tasks/T-100301.md</x:v>
      </x:c>
      <x:c r="M157" s="12" t="str">
        <x:v>none</x:v>
      </x:c>
    </x:row>
    <x:row r="158" ht="58" customHeight="1">
      <x:c r="A158" s="12" t="str">
        <x:v>T-100302</x:v>
      </x:c>
      <x:c r="B158" s="12" t="str">
        <x:v>S10</x:v>
      </x:c>
      <x:c r="C158" s="12" t="str">
        <x:v>ST-1003</x:v>
      </x:c>
      <x:c r="D158" s="12" t="str">
        <x:v>ART_AGENT</x:v>
      </x:c>
      <x:c r="E158" s="12" t="str">
        <x:v>Đóng golden sample street/interior/character</x:v>
      </x:c>
      <x:c r="F158" s="12" t="str">
        <x:v>NOT_STARTED</x:v>
      </x:c>
      <x:c r="G158" s="12" t="str">
        <x:v>T-100101, T-100102, T-100103, T-100104, T-100301</x:v>
      </x:c>
      <x:c r="H158" s="12" t="str">
        <x:v>docs/art/golden_samples/</x:v>
      </x:c>
      <x:c r="I158" s="12" t="str">
        <x:v>ARTIFACT_REVIEW, RENDERED_RUNTIME</x:v>
      </x:c>
      <x:c r="J158" s="12" t="str">
        <x:v>L</x:v>
      </x:c>
      <x:c r="K158" s="12" t="str">
        <x:v>reports/tasks/T-100302/evidence.json</x:v>
      </x:c>
      <x:c r="L158" s="12" t="str">
        <x:v>tasks/T-100302.md</x:v>
      </x:c>
      <x:c r="M158" s="12" t="str">
        <x:v>none</x:v>
      </x:c>
    </x:row>
    <x:row r="159" ht="58" customHeight="1">
      <x:c r="A159" s="12" t="str">
        <x:v>T-100303</x:v>
      </x:c>
      <x:c r="B159" s="12" t="str">
        <x:v>S10</x:v>
      </x:c>
      <x:c r="C159" s="12" t="str">
        <x:v>ST-1003</x:v>
      </x:c>
      <x:c r="D159" s="12" t="str">
        <x:v>AUDIO_AGENT</x:v>
      </x:c>
      <x:c r="E159" s="12" t="str">
        <x:v>Sửa mix và chốt loudness/cue conventions</x:v>
      </x:c>
      <x:c r="F159" s="12" t="str">
        <x:v>NOT_STARTED</x:v>
      </x:c>
      <x:c r="G159" s="12" t="str">
        <x:v>T-100101, T-100102, T-100103, T-100104, T-100302</x:v>
      </x:c>
      <x:c r="H159" s="12" t="str">
        <x:v>docs/audio/audio_bible.md</x:v>
      </x:c>
      <x:c r="I159" s="12" t="str">
        <x:v>ARTIFACT_REVIEW, AUDIO_REVIEW</x:v>
      </x:c>
      <x:c r="J159" s="12" t="str">
        <x:v>L</x:v>
      </x:c>
      <x:c r="K159" s="12" t="str">
        <x:v>reports/tasks/T-100303/evidence.json</x:v>
      </x:c>
      <x:c r="L159" s="12" t="str">
        <x:v>tasks/T-100303.md</x:v>
      </x:c>
      <x:c r="M159" s="12" t="str">
        <x:v>none</x:v>
      </x:c>
    </x:row>
    <x:row r="160" ht="58" customHeight="1">
      <x:c r="A160" s="12" t="str">
        <x:v>T-100304</x:v>
      </x:c>
      <x:c r="B160" s="12" t="str">
        <x:v>S10</x:v>
      </x:c>
      <x:c r="C160" s="12" t="str">
        <x:v>ST-1003</x:v>
      </x:c>
      <x:c r="D160" s="12" t="str">
        <x:v>QA_AGENT</x:v>
      </x:c>
      <x:c r="E160" s="12" t="str">
        <x:v>Đo khả năng tái tạo asset và nghiệm thu pipeline</x:v>
      </x:c>
      <x:c r="F160" s="12" t="str">
        <x:v>NOT_STARTED</x:v>
      </x:c>
      <x:c r="G160" s="12" t="str">
        <x:v>T-100101, T-100102, T-100103, T-100104, T-100303</x:v>
      </x:c>
      <x:c r="H160" s="12" t="str">
        <x:v>reports/S10/asset_pipeline_benchmark.md</x:v>
      </x:c>
      <x:c r="I160" s="12" t="str">
        <x:v>ARTIFACT_REVIEW, ENGINE_TEST, RENDERED_RUNTIME</x:v>
      </x:c>
      <x:c r="J160" s="12" t="str">
        <x:v>M</x:v>
      </x:c>
      <x:c r="K160" s="12" t="str">
        <x:v>reports/tasks/T-100304/evidence.json</x:v>
      </x:c>
      <x:c r="L160" s="12" t="str">
        <x:v>tasks/T-100304.md</x:v>
      </x:c>
      <x:c r="M160" s="12" t="str">
        <x:v>none</x:v>
      </x:c>
    </x:row>
    <x:row r="161" ht="58" customHeight="1">
      <x:c r="A161" s="12" t="str">
        <x:v>T-100401</x:v>
      </x:c>
      <x:c r="B161" s="12" t="str">
        <x:v>S10</x:v>
      </x:c>
      <x:c r="C161" s="12" t="str">
        <x:v>ST-1004</x:v>
      </x:c>
      <x:c r="D161" s="12" t="str">
        <x:v>ORCHESTRATOR</x:v>
      </x:c>
      <x:c r="E161" s="12" t="str">
        <x:v>Re-estimate toàn bộ chapter theo slice velocity</x:v>
      </x:c>
      <x:c r="F161" s="12" t="str">
        <x:v>NOT_STARTED</x:v>
      </x:c>
      <x:c r="G161" s="12" t="str">
        <x:v>T-100201, T-100202, T-100203, T-100204, T-100301, T-100302, T-100303, T-100304</x:v>
      </x:c>
      <x:c r="H161" s="12" t="str">
        <x:v>docs/forecast_G2.md</x:v>
      </x:c>
      <x:c r="I161" s="12" t="str">
        <x:v>ARTIFACT_REVIEW</x:v>
      </x:c>
      <x:c r="J161" s="12" t="str">
        <x:v>L</x:v>
      </x:c>
      <x:c r="K161" s="12" t="str">
        <x:v>reports/tasks/T-100401/evidence.json</x:v>
      </x:c>
      <x:c r="L161" s="12" t="str">
        <x:v>tasks/T-100401.md</x:v>
      </x:c>
      <x:c r="M161" s="12" t="str">
        <x:v>none</x:v>
      </x:c>
    </x:row>
    <x:row r="162" ht="58" customHeight="1">
      <x:c r="A162" s="12" t="str">
        <x:v>T-100402</x:v>
      </x:c>
      <x:c r="B162" s="12" t="str">
        <x:v>S10</x:v>
      </x:c>
      <x:c r="C162" s="12" t="str">
        <x:v>ST-1004</x:v>
      </x:c>
      <x:c r="D162" s="12" t="str">
        <x:v>GAMEPLAY_AGENT</x:v>
      </x:c>
      <x:c r="E162" s="12" t="str">
        <x:v>Khóa recipe tạo art/audio và fallback</x:v>
      </x:c>
      <x:c r="F162" s="12" t="str">
        <x:v>NOT_STARTED</x:v>
      </x:c>
      <x:c r="G162" s="12" t="str">
        <x:v>T-100201, T-100202, T-100203, T-100204, T-100301, T-100302, T-100303, T-100304, T-100401</x:v>
      </x:c>
      <x:c r="H162" s="12" t="str">
        <x:v>docs/assets_pipeline_lock.md</x:v>
      </x:c>
      <x:c r="I162" s="12" t="str">
        <x:v>ARTIFACT_REVIEW, ENGINE_TEST</x:v>
      </x:c>
      <x:c r="J162" s="12" t="str">
        <x:v>M</x:v>
      </x:c>
      <x:c r="K162" s="12" t="str">
        <x:v>reports/tasks/T-100402/evidence.json</x:v>
      </x:c>
      <x:c r="L162" s="12" t="str">
        <x:v>tasks/T-100402.md</x:v>
      </x:c>
      <x:c r="M162" s="12" t="str">
        <x:v>none</x:v>
      </x:c>
    </x:row>
    <x:row r="163" ht="58" customHeight="1">
      <x:c r="A163" s="12" t="str">
        <x:v>T-100403</x:v>
      </x:c>
      <x:c r="B163" s="12" t="str">
        <x:v>S10</x:v>
      </x:c>
      <x:c r="C163" s="12" t="str">
        <x:v>ST-1004</x:v>
      </x:c>
      <x:c r="D163" s="12" t="str">
        <x:v>ORCHESTRATOR</x:v>
      </x:c>
      <x:c r="E163" s="12" t="str">
        <x:v>Duyệt đường găng và kế hoạch S11–S14</x:v>
      </x:c>
      <x:c r="F163" s="12" t="str">
        <x:v>NOT_STARTED</x:v>
      </x:c>
      <x:c r="G163" s="12" t="str">
        <x:v>T-100201, T-100202, T-100203, T-100204, T-100301, T-100302, T-100303, T-100304, T-100402</x:v>
      </x:c>
      <x:c r="H163" s="12" t="str">
        <x:v>reports/S10/gate_G2.md</x:v>
      </x:c>
      <x:c r="I163" s="12" t="str">
        <x:v>ARTIFACT_REVIEW</x:v>
      </x:c>
      <x:c r="J163" s="12" t="str">
        <x:v>M</x:v>
      </x:c>
      <x:c r="K163" s="12" t="str">
        <x:v>reports/tasks/T-100403/evidence.json</x:v>
      </x:c>
      <x:c r="L163" s="12" t="str">
        <x:v>tasks/T-100403.md</x:v>
      </x:c>
      <x:c r="M163" s="12" t="str">
        <x:v>none</x:v>
      </x:c>
    </x:row>
    <x:row r="164" ht="58" customHeight="1">
      <x:c r="A164" s="12" t="str">
        <x:v>T-100404</x:v>
      </x:c>
      <x:c r="B164" s="12" t="str">
        <x:v>S10</x:v>
      </x:c>
      <x:c r="C164" s="12" t="str">
        <x:v>ST-1004</x:v>
      </x:c>
      <x:c r="D164" s="12" t="str">
        <x:v>ORCHESTRATOR</x:v>
      </x:c>
      <x:c r="E164" s="12" t="str">
        <x:v>Archive slice và tạo baseline production</x:v>
      </x:c>
      <x:c r="F164" s="12" t="str">
        <x:v>NOT_STARTED</x:v>
      </x:c>
      <x:c r="G164" s="12" t="str">
        <x:v>T-100201, T-100202, T-100203, T-100204, T-100301, T-100302, T-100303, T-100304, T-100403</x:v>
      </x:c>
      <x:c r="H164" s="12" t="str">
        <x:v>build_manifest/VS1.json</x:v>
      </x:c>
      <x:c r="I164" s="12" t="str">
        <x:v>ARTIFACT_REVIEW</x:v>
      </x:c>
      <x:c r="J164" s="12" t="str">
        <x:v>S</x:v>
      </x:c>
      <x:c r="K164" s="12" t="str">
        <x:v>reports/tasks/T-100404/evidence.json</x:v>
      </x:c>
      <x:c r="L164" s="12" t="str">
        <x:v>tasks/T-100404.md</x:v>
      </x:c>
      <x:c r="M164" s="12" t="str">
        <x:v>none</x:v>
      </x:c>
    </x:row>
    <x:row r="165" ht="58" customHeight="1">
      <x:c r="A165" s="12" t="str">
        <x:v>T-110101</x:v>
      </x:c>
      <x:c r="B165" s="12" t="str">
        <x:v>S11</x:v>
      </x:c>
      <x:c r="C165" s="12" t="str">
        <x:v>ST-1101</x:v>
      </x:c>
      <x:c r="D165" s="12" t="str">
        <x:v>GAMEPLAY_AGENT</x:v>
      </x:c>
      <x:c r="E165" s="12" t="str">
        <x:v>Định nghĩa LevelManifest và stable object IDs</x:v>
      </x:c>
      <x:c r="F165" s="12" t="str">
        <x:v>NOT_STARTED</x:v>
      </x:c>
      <x:c r="G165" s="12" t="str">
        <x:v>T-100401, T-100402, T-100403, T-100404</x:v>
      </x:c>
      <x:c r="H165" s="12" t="str">
        <x:v>data/levels/; docs/level_manifest.md</x:v>
      </x:c>
      <x:c r="I165" s="12" t="str">
        <x:v>ARTIFACT_REVIEW, ENGINE_TEST</x:v>
      </x:c>
      <x:c r="J165" s="12" t="str">
        <x:v>M</x:v>
      </x:c>
      <x:c r="K165" s="12" t="str">
        <x:v>reports/tasks/T-110101/evidence.json</x:v>
      </x:c>
      <x:c r="L165" s="12" t="str">
        <x:v>tasks/T-110101.md</x:v>
      </x:c>
      <x:c r="M165" s="12" t="str">
        <x:v>none</x:v>
      </x:c>
    </x:row>
    <x:row r="166" ht="58" customHeight="1">
      <x:c r="A166" s="12" t="str">
        <x:v>T-110102</x:v>
      </x:c>
      <x:c r="B166" s="12" t="str">
        <x:v>S11</x:v>
      </x:c>
      <x:c r="C166" s="12" t="str">
        <x:v>ST-1101</x:v>
      </x:c>
      <x:c r="D166" s="12" t="str">
        <x:v>GAMEPLAY_AGENT</x:v>
      </x:c>
      <x:c r="E166" s="12" t="str">
        <x:v>Implement load/unload với spawn transition</x:v>
      </x:c>
      <x:c r="F166" s="12" t="str">
        <x:v>NOT_STARTED</x:v>
      </x:c>
      <x:c r="G166" s="12" t="str">
        <x:v>T-100401, T-100402, T-100403, T-100404, T-110101</x:v>
      </x:c>
      <x:c r="H166" s="12" t="str">
        <x:v>scripts/levels/level_router.gd</x:v>
      </x:c>
      <x:c r="I166" s="12" t="str">
        <x:v>ARTIFACT_REVIEW, ENGINE_TEST</x:v>
      </x:c>
      <x:c r="J166" s="12" t="str">
        <x:v>L</x:v>
      </x:c>
      <x:c r="K166" s="12" t="str">
        <x:v>reports/tasks/T-110102/evidence.json</x:v>
      </x:c>
      <x:c r="L166" s="12" t="str">
        <x:v>tasks/T-110102.md</x:v>
      </x:c>
      <x:c r="M166" s="12" t="str">
        <x:v>none</x:v>
      </x:c>
    </x:row>
    <x:row r="167" ht="58" customHeight="1">
      <x:c r="A167" s="12" t="str">
        <x:v>T-110103</x:v>
      </x:c>
      <x:c r="B167" s="12" t="str">
        <x:v>S11</x:v>
      </x:c>
      <x:c r="C167" s="12" t="str">
        <x:v>ST-1101</x:v>
      </x:c>
      <x:c r="D167" s="12" t="str">
        <x:v>GAMEPLAY_AGENT</x:v>
      </x:c>
      <x:c r="E167" s="12" t="str">
        <x:v>Lưu local puzzle state trước unload</x:v>
      </x:c>
      <x:c r="F167" s="12" t="str">
        <x:v>NOT_STARTED</x:v>
      </x:c>
      <x:c r="G167" s="12" t="str">
        <x:v>T-100401, T-100402, T-100403, T-100404, T-110102</x:v>
      </x:c>
      <x:c r="H167" s="12" t="str">
        <x:v>scripts/levels/level_state_adapter.gd</x:v>
      </x:c>
      <x:c r="I167" s="12" t="str">
        <x:v>ARTIFACT_REVIEW, ENGINE_TEST</x:v>
      </x:c>
      <x:c r="J167" s="12" t="str">
        <x:v>M</x:v>
      </x:c>
      <x:c r="K167" s="12" t="str">
        <x:v>reports/tasks/T-110103/evidence.json</x:v>
      </x:c>
      <x:c r="L167" s="12" t="str">
        <x:v>tasks/T-110103.md</x:v>
      </x:c>
      <x:c r="M167" s="12" t="str">
        <x:v>none</x:v>
      </x:c>
    </x:row>
    <x:row r="168" ht="58" customHeight="1">
      <x:c r="A168" s="12" t="str">
        <x:v>T-110104</x:v>
      </x:c>
      <x:c r="B168" s="12" t="str">
        <x:v>S11</x:v>
      </x:c>
      <x:c r="C168" s="12" t="str">
        <x:v>ST-1101</x:v>
      </x:c>
      <x:c r="D168" s="12" t="str">
        <x:v>QA_AGENT</x:v>
      </x:c>
      <x:c r="E168" s="12" t="str">
        <x:v>Đo RAM qua 10 lần A↔B</x:v>
      </x:c>
      <x:c r="F168" s="12" t="str">
        <x:v>NOT_STARTED</x:v>
      </x:c>
      <x:c r="G168" s="12" t="str">
        <x:v>T-100401, T-100402, T-100403, T-100404, T-110103</x:v>
      </x:c>
      <x:c r="H168" s="12" t="str">
        <x:v>reports/S11/streaming_memory.md</x:v>
      </x:c>
      <x:c r="I168" s="12" t="str">
        <x:v>ARTIFACT_REVIEW, ENGINE_TEST, RENDERED_RUNTIME</x:v>
      </x:c>
      <x:c r="J168" s="12" t="str">
        <x:v>S</x:v>
      </x:c>
      <x:c r="K168" s="12" t="str">
        <x:v>reports/tasks/T-110104/evidence.json</x:v>
      </x:c>
      <x:c r="L168" s="12" t="str">
        <x:v>tasks/T-110104.md</x:v>
      </x:c>
      <x:c r="M168" s="12" t="str">
        <x:v>none</x:v>
      </x:c>
    </x:row>
    <x:row r="169" ht="58" customHeight="1">
      <x:c r="A169" s="12" t="str">
        <x:v>T-110201</x:v>
      </x:c>
      <x:c r="B169" s="12" t="str">
        <x:v>S11</x:v>
      </x:c>
      <x:c r="C169" s="12" t="str">
        <x:v>ST-1102</x:v>
      </x:c>
      <x:c r="D169" s="12" t="str">
        <x:v>GAMEPLAY_AGENT</x:v>
      </x:c>
      <x:c r="E169" s="12" t="str">
        <x:v>Mở rộng slot metadata và menu chọn slot</x:v>
      </x:c>
      <x:c r="F169" s="12" t="str">
        <x:v>NOT_STARTED</x:v>
      </x:c>
      <x:c r="G169" s="12" t="str">
        <x:v>T-110101, T-110102, T-110103, T-110104</x:v>
      </x:c>
      <x:c r="H169" s="12" t="str">
        <x:v>scripts/save/; scenes/ui/save_slots.tscn</x:v>
      </x:c>
      <x:c r="I169" s="12" t="str">
        <x:v>ARTIFACT_REVIEW, ENGINE_TEST</x:v>
      </x:c>
      <x:c r="J169" s="12" t="str">
        <x:v>M</x:v>
      </x:c>
      <x:c r="K169" s="12" t="str">
        <x:v>reports/tasks/T-110201/evidence.json</x:v>
      </x:c>
      <x:c r="L169" s="12" t="str">
        <x:v>tasks/T-110201.md</x:v>
      </x:c>
      <x:c r="M169" s="12" t="str">
        <x:v>none</x:v>
      </x:c>
    </x:row>
    <x:row r="170" ht="58" customHeight="1">
      <x:c r="A170" s="12" t="str">
        <x:v>T-110202</x:v>
      </x:c>
      <x:c r="B170" s="12" t="str">
        <x:v>S11</x:v>
      </x:c>
      <x:c r="C170" s="12" t="str">
        <x:v>ST-1102</x:v>
      </x:c>
      <x:c r="D170" s="12" t="str">
        <x:v>QA_AGENT</x:v>
      </x:c>
      <x:c r="E170" s="12" t="str">
        <x:v>Viết migration v1→v2 và fixtures</x:v>
      </x:c>
      <x:c r="F170" s="12" t="str">
        <x:v>NOT_STARTED</x:v>
      </x:c>
      <x:c r="G170" s="12" t="str">
        <x:v>T-110101, T-110102, T-110103, T-110104, T-110201</x:v>
      </x:c>
      <x:c r="H170" s="12" t="str">
        <x:v>tests/fixtures/saves/</x:v>
      </x:c>
      <x:c r="I170" s="12" t="str">
        <x:v>ARTIFACT_REVIEW, ENGINE_TEST, RENDERED_RUNTIME</x:v>
      </x:c>
      <x:c r="J170" s="12" t="str">
        <x:v>L</x:v>
      </x:c>
      <x:c r="K170" s="12" t="str">
        <x:v>reports/tasks/T-110202/evidence.json</x:v>
      </x:c>
      <x:c r="L170" s="12" t="str">
        <x:v>tasks/T-110202.md</x:v>
      </x:c>
      <x:c r="M170" s="12" t="str">
        <x:v>none</x:v>
      </x:c>
    </x:row>
    <x:row r="171" ht="58" customHeight="1">
      <x:c r="A171" s="12" t="str">
        <x:v>T-110203</x:v>
      </x:c>
      <x:c r="B171" s="12" t="str">
        <x:v>S11</x:v>
      </x:c>
      <x:c r="C171" s="12" t="str">
        <x:v>ST-1102</x:v>
      </x:c>
      <x:c r="D171" s="12" t="str">
        <x:v>GAMEPLAY_AGENT</x:v>
      </x:c>
      <x:c r="E171" s="12" t="str">
        <x:v>Cài recovery UI và backup selection</x:v>
      </x:c>
      <x:c r="F171" s="12" t="str">
        <x:v>NOT_STARTED</x:v>
      </x:c>
      <x:c r="G171" s="12" t="str">
        <x:v>T-110101, T-110102, T-110103, T-110104, T-110202</x:v>
      </x:c>
      <x:c r="H171" s="12" t="str">
        <x:v>scenes/ui/save_recovery.tscn</x:v>
      </x:c>
      <x:c r="I171" s="12" t="str">
        <x:v>ARTIFACT_REVIEW, ENGINE_TEST</x:v>
      </x:c>
      <x:c r="J171" s="12" t="str">
        <x:v>M</x:v>
      </x:c>
      <x:c r="K171" s="12" t="str">
        <x:v>reports/tasks/T-110203/evidence.json</x:v>
      </x:c>
      <x:c r="L171" s="12" t="str">
        <x:v>tasks/T-110203.md</x:v>
      </x:c>
      <x:c r="M171" s="12" t="str">
        <x:v>none</x:v>
      </x:c>
    </x:row>
    <x:row r="172" ht="58" customHeight="1">
      <x:c r="A172" s="12" t="str">
        <x:v>T-110204</x:v>
      </x:c>
      <x:c r="B172" s="12" t="str">
        <x:v>S11</x:v>
      </x:c>
      <x:c r="C172" s="12" t="str">
        <x:v>ST-1102</x:v>
      </x:c>
      <x:c r="D172" s="12" t="str">
        <x:v>QA_AGENT</x:v>
      </x:c>
      <x:c r="E172" s="12" t="str">
        <x:v>Test ghi lỗi, ổ đầy mô phỏng và reload vùng</x:v>
      </x:c>
      <x:c r="F172" s="12" t="str">
        <x:v>NOT_STARTED</x:v>
      </x:c>
      <x:c r="G172" s="12" t="str">
        <x:v>T-110101, T-110102, T-110103, T-110104, T-110203</x:v>
      </x:c>
      <x:c r="H172" s="12" t="str">
        <x:v>reports/S11/save_matrix.md</x:v>
      </x:c>
      <x:c r="I172" s="12" t="str">
        <x:v>ARTIFACT_REVIEW, ENGINE_TEST, RENDERED_RUNTIME</x:v>
      </x:c>
      <x:c r="J172" s="12" t="str">
        <x:v>S</x:v>
      </x:c>
      <x:c r="K172" s="12" t="str">
        <x:v>reports/tasks/T-110204/evidence.json</x:v>
      </x:c>
      <x:c r="L172" s="12" t="str">
        <x:v>tasks/T-110204.md</x:v>
      </x:c>
      <x:c r="M172" s="12" t="str">
        <x:v>none</x:v>
      </x:c>
    </x:row>
    <x:row r="173" ht="58" customHeight="1">
      <x:c r="A173" s="12" t="str">
        <x:v>T-110301</x:v>
      </x:c>
      <x:c r="B173" s="12" t="str">
        <x:v>S11</x:v>
      </x:c>
      <x:c r="C173" s="12" t="str">
        <x:v>ST-1103</x:v>
      </x:c>
      <x:c r="D173" s="12" t="str">
        <x:v>ART_AGENT</x:v>
      </x:c>
      <x:c r="E173" s="12" t="str">
        <x:v>Mở rộng building kit theo golden sample</x:v>
      </x:c>
      <x:c r="F173" s="12" t="str">
        <x:v>NOT_STARTED</x:v>
      </x:c>
      <x:c r="G173" s="12" t="str">
        <x:v>T-100301, T-100302, T-100303, T-100304</x:v>
      </x:c>
      <x:c r="H173" s="12" t="str">
        <x:v>art/export/environment/village_kit_v2/</x:v>
      </x:c>
      <x:c r="I173" s="12" t="str">
        <x:v>ARTIFACT_REVIEW, RENDERED_RUNTIME</x:v>
      </x:c>
      <x:c r="J173" s="12" t="str">
        <x:v>L</x:v>
      </x:c>
      <x:c r="K173" s="12" t="str">
        <x:v>reports/tasks/T-110301/evidence.json</x:v>
      </x:c>
      <x:c r="L173" s="12" t="str">
        <x:v>tasks/T-110301.md</x:v>
      </x:c>
      <x:c r="M173" s="12" t="str">
        <x:v>none</x:v>
      </x:c>
    </x:row>
    <x:row r="174" ht="58" customHeight="1">
      <x:c r="A174" s="12" t="str">
        <x:v>T-110302</x:v>
      </x:c>
      <x:c r="B174" s="12" t="str">
        <x:v>S11</x:v>
      </x:c>
      <x:c r="C174" s="12" t="str">
        <x:v>ST-1103</x:v>
      </x:c>
      <x:c r="D174" s="12" t="str">
        <x:v>ART_AGENT</x:v>
      </x:c>
      <x:c r="E174" s="12" t="str">
        <x:v>Chuẩn hóa material atlas và props dùng chung</x:v>
      </x:c>
      <x:c r="F174" s="12" t="str">
        <x:v>NOT_STARTED</x:v>
      </x:c>
      <x:c r="G174" s="12" t="str">
        <x:v>T-100301, T-100302, T-100303, T-100304, T-110301</x:v>
      </x:c>
      <x:c r="H174" s="12" t="str">
        <x:v>art/materials/shared/; art/export/props/common/</x:v>
      </x:c>
      <x:c r="I174" s="12" t="str">
        <x:v>ARTIFACT_REVIEW, RENDERED_RUNTIME</x:v>
      </x:c>
      <x:c r="J174" s="12" t="str">
        <x:v>L</x:v>
      </x:c>
      <x:c r="K174" s="12" t="str">
        <x:v>reports/tasks/T-110302/evidence.json</x:v>
      </x:c>
      <x:c r="L174" s="12" t="str">
        <x:v>tasks/T-110302.md</x:v>
      </x:c>
      <x:c r="M174" s="12" t="str">
        <x:v>none</x:v>
      </x:c>
    </x:row>
    <x:row r="175" ht="58" customHeight="1">
      <x:c r="A175" s="12" t="str">
        <x:v>T-110303</x:v>
      </x:c>
      <x:c r="B175" s="12" t="str">
        <x:v>S11</x:v>
      </x:c>
      <x:c r="C175" s="12" t="str">
        <x:v>ST-1103</x:v>
      </x:c>
      <x:c r="D175" s="12" t="str">
        <x:v>ART_AGENT</x:v>
      </x:c>
      <x:c r="E175" s="12" t="str">
        <x:v>Chuẩn bị wall/floor erased variants</x:v>
      </x:c>
      <x:c r="F175" s="12" t="str">
        <x:v>NOT_STARTED</x:v>
      </x:c>
      <x:c r="G175" s="12" t="str">
        <x:v>T-100301, T-100302, T-100303, T-100304, T-110302</x:v>
      </x:c>
      <x:c r="H175" s="12" t="str">
        <x:v>art/export/environment/erased_kit/</x:v>
      </x:c>
      <x:c r="I175" s="12" t="str">
        <x:v>ARTIFACT_REVIEW, RENDERED_RUNTIME</x:v>
      </x:c>
      <x:c r="J175" s="12" t="str">
        <x:v>L</x:v>
      </x:c>
      <x:c r="K175" s="12" t="str">
        <x:v>reports/tasks/T-110303/evidence.json</x:v>
      </x:c>
      <x:c r="L175" s="12" t="str">
        <x:v>tasks/T-110303.md</x:v>
      </x:c>
      <x:c r="M175" s="12" t="str">
        <x:v>none</x:v>
      </x:c>
    </x:row>
    <x:row r="176" ht="58" customHeight="1">
      <x:c r="A176" s="12" t="str">
        <x:v>T-110304</x:v>
      </x:c>
      <x:c r="B176" s="12" t="str">
        <x:v>S11</x:v>
      </x:c>
      <x:c r="C176" s="12" t="str">
        <x:v>ST-1103</x:v>
      </x:c>
      <x:c r="D176" s="12" t="str">
        <x:v>GAMEPLAY_AGENT</x:v>
      </x:c>
      <x:c r="E176" s="12" t="str">
        <x:v>Viết asset manifest validator và import checklist</x:v>
      </x:c>
      <x:c r="F176" s="12" t="str">
        <x:v>NOT_STARTED</x:v>
      </x:c>
      <x:c r="G176" s="12" t="str">
        <x:v>T-100301, T-100302, T-100303, T-100304, T-110303</x:v>
      </x:c>
      <x:c r="H176" s="12" t="str">
        <x:v>tools/validate_assets.gd</x:v>
      </x:c>
      <x:c r="I176" s="12" t="str">
        <x:v>ARTIFACT_REVIEW, ENGINE_TEST</x:v>
      </x:c>
      <x:c r="J176" s="12" t="str">
        <x:v>M</x:v>
      </x:c>
      <x:c r="K176" s="12" t="str">
        <x:v>reports/tasks/T-110304/evidence.json</x:v>
      </x:c>
      <x:c r="L176" s="12" t="str">
        <x:v>tasks/T-110304.md</x:v>
      </x:c>
      <x:c r="M176" s="12" t="str">
        <x:v>none</x:v>
      </x:c>
    </x:row>
    <x:row r="177" ht="58" customHeight="1">
      <x:c r="A177" s="12" t="str">
        <x:v>T-110401</x:v>
      </x:c>
      <x:c r="B177" s="12" t="str">
        <x:v>S11</x:v>
      </x:c>
      <x:c r="C177" s="12" t="str">
        <x:v>ST-1104</x:v>
      </x:c>
      <x:c r="D177" s="12" t="str">
        <x:v>RELEASE_AGENT</x:v>
      </x:c>
      <x:c r="E177" s="12" t="str">
        <x:v>Lập checklist Steamworks onboarding và quyền owner</x:v>
      </x:c>
      <x:c r="F177" s="12" t="str">
        <x:v>NOT_STARTED</x:v>
      </x:c>
      <x:c r="G177" s="12" t="str">
        <x:v>T-110201, T-110202, T-110203, T-110204, T-110301, T-110302, T-110303, T-110304</x:v>
      </x:c>
      <x:c r="H177" s="12" t="str">
        <x:v>docs/release/onboarding.md</x:v>
      </x:c>
      <x:c r="I177" s="12" t="str">
        <x:v>ARTIFACT_REVIEW</x:v>
      </x:c>
      <x:c r="J177" s="12" t="str">
        <x:v>M</x:v>
      </x:c>
      <x:c r="K177" s="12" t="str">
        <x:v>reports/tasks/T-110401/evidence.json</x:v>
      </x:c>
      <x:c r="L177" s="12" t="str">
        <x:v>tasks/T-110401.md</x:v>
      </x:c>
      <x:c r="M177" s="12" t="str">
        <x:v>none</x:v>
      </x:c>
    </x:row>
    <x:row r="178" ht="58" customHeight="1">
      <x:c r="A178" s="12" t="str">
        <x:v>T-110402</x:v>
      </x:c>
      <x:c r="B178" s="12" t="str">
        <x:v>S11</x:v>
      </x:c>
      <x:c r="C178" s="12" t="str">
        <x:v>ST-1104</x:v>
      </x:c>
      <x:c r="D178" s="12" t="str">
        <x:v>QA_AGENT</x:v>
      </x:c>
      <x:c r="E178" s="12" t="str">
        <x:v>Cài CI import/test/export theo engine pin</x:v>
      </x:c>
      <x:c r="F178" s="12" t="str">
        <x:v>NOT_STARTED</x:v>
      </x:c>
      <x:c r="G178" s="12" t="str">
        <x:v>T-110201, T-110202, T-110203, T-110204, T-110301, T-110302, T-110303, T-110304, T-110401</x:v>
      </x:c>
      <x:c r="H178" s="12" t="str">
        <x:v>ci/; scripts/build_windows.*</x:v>
      </x:c>
      <x:c r="I178" s="12" t="str">
        <x:v>ARTIFACT_REVIEW, ENGINE_TEST, RENDERED_RUNTIME</x:v>
      </x:c>
      <x:c r="J178" s="12" t="str">
        <x:v>M</x:v>
      </x:c>
      <x:c r="K178" s="12" t="str">
        <x:v>reports/tasks/T-110402/evidence.json</x:v>
      </x:c>
      <x:c r="L178" s="12" t="str">
        <x:v>tasks/T-110402.md</x:v>
      </x:c>
      <x:c r="M178" s="12" t="str">
        <x:v>none</x:v>
      </x:c>
    </x:row>
    <x:row r="179" ht="58" customHeight="1">
      <x:c r="A179" s="12" t="str">
        <x:v>T-110403</x:v>
      </x:c>
      <x:c r="B179" s="12" t="str">
        <x:v>S11</x:v>
      </x:c>
      <x:c r="C179" s="12" t="str">
        <x:v>ST-1104</x:v>
      </x:c>
      <x:c r="D179" s="12" t="str">
        <x:v>GAMEPLAY_AGENT</x:v>
      </x:c>
      <x:c r="E179" s="12" t="str">
        <x:v>Tạo build manifest và clean checkout checklist</x:v>
      </x:c>
      <x:c r="F179" s="12" t="str">
        <x:v>NOT_STARTED</x:v>
      </x:c>
      <x:c r="G179" s="12" t="str">
        <x:v>T-110201, T-110202, T-110203, T-110204, T-110301, T-110302, T-110303, T-110304, T-110402</x:v>
      </x:c>
      <x:c r="H179" s="12" t="str">
        <x:v>tools/build_manifest.py; docs/builds.md</x:v>
      </x:c>
      <x:c r="I179" s="12" t="str">
        <x:v>ARTIFACT_REVIEW, ENGINE_TEST</x:v>
      </x:c>
      <x:c r="J179" s="12" t="str">
        <x:v>M</x:v>
      </x:c>
      <x:c r="K179" s="12" t="str">
        <x:v>reports/tasks/T-110403/evidence.json</x:v>
      </x:c>
      <x:c r="L179" s="12" t="str">
        <x:v>tasks/T-110403.md</x:v>
      </x:c>
      <x:c r="M179" s="12" t="str">
        <x:v>none</x:v>
      </x:c>
    </x:row>
    <x:row r="180" ht="58" customHeight="1">
      <x:c r="A180" s="12" t="str">
        <x:v>T-110404</x:v>
      </x:c>
      <x:c r="B180" s="12" t="str">
        <x:v>S11</x:v>
      </x:c>
      <x:c r="C180" s="12" t="str">
        <x:v>ST-1104</x:v>
      </x:c>
      <x:c r="D180" s="12" t="str">
        <x:v>ORCHESTRATOR</x:v>
      </x:c>
      <x:c r="E180" s="12" t="str">
        <x:v>Review S11 và test load/save trên build</x:v>
      </x:c>
      <x:c r="F180" s="12" t="str">
        <x:v>NOT_STARTED</x:v>
      </x:c>
      <x:c r="G180" s="12" t="str">
        <x:v>T-110201, T-110202, T-110203, T-110204, T-110301, T-110302, T-110303, T-110304, T-110403</x:v>
      </x:c>
      <x:c r="H180" s="12" t="str">
        <x:v>reports/S11/review.md</x:v>
      </x:c>
      <x:c r="I180" s="12" t="str">
        <x:v>ARTIFACT_REVIEW</x:v>
      </x:c>
      <x:c r="J180" s="12" t="str">
        <x:v>S</x:v>
      </x:c>
      <x:c r="K180" s="12" t="str">
        <x:v>reports/tasks/T-110404/evidence.json</x:v>
      </x:c>
      <x:c r="L180" s="12" t="str">
        <x:v>tasks/T-110404.md</x:v>
      </x:c>
      <x:c r="M180" s="12" t="str">
        <x:v>none</x:v>
      </x:c>
    </x:row>
    <x:row r="181" ht="58" customHeight="1">
      <x:c r="A181" s="12" t="str">
        <x:v>T-120101</x:v>
      </x:c>
      <x:c r="B181" s="12" t="str">
        <x:v>S12</x:v>
      </x:c>
      <x:c r="C181" s="12" t="str">
        <x:v>ST-1201</x:v>
      </x:c>
      <x:c r="D181" s="12" t="str">
        <x:v>GAMEPLAY_AGENT</x:v>
      </x:c>
      <x:c r="E181" s="12" t="str">
        <x:v>Tạo ChapterManifest và hub state table</x:v>
      </x:c>
      <x:c r="F181" s="12" t="str">
        <x:v>NOT_STARTED</x:v>
      </x:c>
      <x:c r="G181" s="12" t="str">
        <x:v>T-110401, T-110402, T-110403, T-110404</x:v>
      </x:c>
      <x:c r="H181" s="12" t="str">
        <x:v>data/chapters/; data/hub/</x:v>
      </x:c>
      <x:c r="I181" s="12" t="str">
        <x:v>ARTIFACT_REVIEW, ENGINE_TEST</x:v>
      </x:c>
      <x:c r="J181" s="12" t="str">
        <x:v>M</x:v>
      </x:c>
      <x:c r="K181" s="12" t="str">
        <x:v>reports/tasks/T-120101/evidence.json</x:v>
      </x:c>
      <x:c r="L181" s="12" t="str">
        <x:v>tasks/T-120101.md</x:v>
      </x:c>
      <x:c r="M181" s="12" t="str">
        <x:v>none</x:v>
      </x:c>
    </x:row>
    <x:row r="182" ht="58" customHeight="1">
      <x:c r="A182" s="12" t="str">
        <x:v>T-120102</x:v>
      </x:c>
      <x:c r="B182" s="12" t="str">
        <x:v>S12</x:v>
      </x:c>
      <x:c r="C182" s="12" t="str">
        <x:v>ST-1201</x:v>
      </x:c>
      <x:c r="D182" s="12" t="str">
        <x:v>GAMEPLAY_AGENT</x:v>
      </x:c>
      <x:c r="E182" s="12" t="str">
        <x:v>Cài hub variants, exits và revisit memory route</x:v>
      </x:c>
      <x:c r="F182" s="12" t="str">
        <x:v>NOT_STARTED</x:v>
      </x:c>
      <x:c r="G182" s="12" t="str">
        <x:v>T-110401, T-110402, T-110403, T-110404, T-120101</x:v>
      </x:c>
      <x:c r="H182" s="12" t="str">
        <x:v>scripts/hub/hub_director.gd</x:v>
      </x:c>
      <x:c r="I182" s="12" t="str">
        <x:v>ARTIFACT_REVIEW, ENGINE_TEST</x:v>
      </x:c>
      <x:c r="J182" s="12" t="str">
        <x:v>L</x:v>
      </x:c>
      <x:c r="K182" s="12" t="str">
        <x:v>reports/tasks/T-120102/evidence.json</x:v>
      </x:c>
      <x:c r="L182" s="12" t="str">
        <x:v>tasks/T-120102.md</x:v>
      </x:c>
      <x:c r="M182" s="12" t="str">
        <x:v>none</x:v>
      </x:c>
    </x:row>
    <x:row r="183" ht="58" customHeight="1">
      <x:c r="A183" s="12" t="str">
        <x:v>T-120103</x:v>
      </x:c>
      <x:c r="B183" s="12" t="str">
        <x:v>S12</x:v>
      </x:c>
      <x:c r="C183" s="12" t="str">
        <x:v>ST-1201</x:v>
      </x:c>
      <x:c r="D183" s="12" t="str">
        <x:v>GAMEPLAY_AGENT</x:v>
      </x:c>
      <x:c r="E183" s="12" t="str">
        <x:v>Cài chapter handoff và recap trên continue</x:v>
      </x:c>
      <x:c r="F183" s="12" t="str">
        <x:v>NOT_STARTED</x:v>
      </x:c>
      <x:c r="G183" s="12" t="str">
        <x:v>T-110401, T-110402, T-110403, T-110404, T-120102</x:v>
      </x:c>
      <x:c r="H183" s="12" t="str">
        <x:v>data/story/chapter_handoffs/</x:v>
      </x:c>
      <x:c r="I183" s="12" t="str">
        <x:v>ARTIFACT_REVIEW, ENGINE_TEST</x:v>
      </x:c>
      <x:c r="J183" s="12" t="str">
        <x:v>M</x:v>
      </x:c>
      <x:c r="K183" s="12" t="str">
        <x:v>reports/tasks/T-120103/evidence.json</x:v>
      </x:c>
      <x:c r="L183" s="12" t="str">
        <x:v>tasks/T-120103.md</x:v>
      </x:c>
      <x:c r="M183" s="12" t="str">
        <x:v>none</x:v>
      </x:c>
    </x:row>
    <x:row r="184" ht="58" customHeight="1">
      <x:c r="A184" s="12" t="str">
        <x:v>T-120104</x:v>
      </x:c>
      <x:c r="B184" s="12" t="str">
        <x:v>S12</x:v>
      </x:c>
      <x:c r="C184" s="12" t="str">
        <x:v>ST-1201</x:v>
      </x:c>
      <x:c r="D184" s="12" t="str">
        <x:v>QA_AGENT</x:v>
      </x:c>
      <x:c r="E184" s="12" t="str">
        <x:v>Test state cho cả bảy đêm bằng fixtures</x:v>
      </x:c>
      <x:c r="F184" s="12" t="str">
        <x:v>NOT_STARTED</x:v>
      </x:c>
      <x:c r="G184" s="12" t="str">
        <x:v>T-110401, T-110402, T-110403, T-110404, T-120103</x:v>
      </x:c>
      <x:c r="H184" s="12" t="str">
        <x:v>tests/hub/</x:v>
      </x:c>
      <x:c r="I184" s="12" t="str">
        <x:v>ARTIFACT_REVIEW, ENGINE_TEST, RENDERED_RUNTIME</x:v>
      </x:c>
      <x:c r="J184" s="12" t="str">
        <x:v>S</x:v>
      </x:c>
      <x:c r="K184" s="12" t="str">
        <x:v>reports/tasks/T-120104/evidence.json</x:v>
      </x:c>
      <x:c r="L184" s="12" t="str">
        <x:v>tasks/T-120104.md</x:v>
      </x:c>
      <x:c r="M184" s="12" t="str">
        <x:v>none</x:v>
      </x:c>
    </x:row>
    <x:row r="185" ht="58" customHeight="1">
      <x:c r="A185" s="12" t="str">
        <x:v>T-120201</x:v>
      </x:c>
      <x:c r="B185" s="12" t="str">
        <x:v>S12</x:v>
      </x:c>
      <x:c r="C185" s="12" t="str">
        <x:v>ST-1202</x:v>
      </x:c>
      <x:c r="D185" s="12" t="str">
        <x:v>GAMEPLAY_AGENT</x:v>
      </x:c>
      <x:c r="E185" s="12" t="str">
        <x:v>Thiết kế EvidenceResource và taxonomy</x:v>
      </x:c>
      <x:c r="F185" s="12" t="str">
        <x:v>NOT_STARTED</x:v>
      </x:c>
      <x:c r="G185" s="12" t="str">
        <x:v>T-120101, T-120102, T-120103, T-120104</x:v>
      </x:c>
      <x:c r="H185" s="12" t="str">
        <x:v>data/evidence/; docs/evidence_schema.md</x:v>
      </x:c>
      <x:c r="I185" s="12" t="str">
        <x:v>ARTIFACT_REVIEW, ENGINE_TEST</x:v>
      </x:c>
      <x:c r="J185" s="12" t="str">
        <x:v>M</x:v>
      </x:c>
      <x:c r="K185" s="12" t="str">
        <x:v>reports/tasks/T-120201/evidence.json</x:v>
      </x:c>
      <x:c r="L185" s="12" t="str">
        <x:v>tasks/T-120201.md</x:v>
      </x:c>
      <x:c r="M185" s="12" t="str">
        <x:v>none</x:v>
      </x:c>
    </x:row>
    <x:row r="186" ht="58" customHeight="1">
      <x:c r="A186" s="12" t="str">
        <x:v>T-120202</x:v>
      </x:c>
      <x:c r="B186" s="12" t="str">
        <x:v>S12</x:v>
      </x:c>
      <x:c r="C186" s="12" t="str">
        <x:v>ST-1202</x:v>
      </x:c>
      <x:c r="D186" s="12" t="str">
        <x:v>GAMEPLAY_AGENT</x:v>
      </x:c>
      <x:c r="E186" s="12" t="str">
        <x:v>Dựng journal view và fragment map</x:v>
      </x:c>
      <x:c r="F186" s="12" t="str">
        <x:v>NOT_STARTED</x:v>
      </x:c>
      <x:c r="G186" s="12" t="str">
        <x:v>T-120101, T-120102, T-120103, T-120104, T-120201</x:v>
      </x:c>
      <x:c r="H186" s="12" t="str">
        <x:v>scenes/ui/journal.tscn</x:v>
      </x:c>
      <x:c r="I186" s="12" t="str">
        <x:v>ARTIFACT_REVIEW, ENGINE_TEST</x:v>
      </x:c>
      <x:c r="J186" s="12" t="str">
        <x:v>L</x:v>
      </x:c>
      <x:c r="K186" s="12" t="str">
        <x:v>reports/tasks/T-120202/evidence.json</x:v>
      </x:c>
      <x:c r="L186" s="12" t="str">
        <x:v>tasks/T-120202.md</x:v>
      </x:c>
      <x:c r="M186" s="12" t="str">
        <x:v>none</x:v>
      </x:c>
    </x:row>
    <x:row r="187" ht="58" customHeight="1">
      <x:c r="A187" s="12" t="str">
        <x:v>T-120203</x:v>
      </x:c>
      <x:c r="B187" s="12" t="str">
        <x:v>S12</x:v>
      </x:c>
      <x:c r="C187" s="12" t="str">
        <x:v>ST-1202</x:v>
      </x:c>
      <x:c r="D187" s="12" t="str">
        <x:v>GAMEPLAY_AGENT</x:v>
      </x:c>
      <x:c r="E187" s="12" t="str">
        <x:v>Cài reveal/collect/revisit bookkeeping</x:v>
      </x:c>
      <x:c r="F187" s="12" t="str">
        <x:v>NOT_STARTED</x:v>
      </x:c>
      <x:c r="G187" s="12" t="str">
        <x:v>T-120101, T-120102, T-120103, T-120104, T-120202</x:v>
      </x:c>
      <x:c r="H187" s="12" t="str">
        <x:v>scripts/evidence/evidence_service.gd</x:v>
      </x:c>
      <x:c r="I187" s="12" t="str">
        <x:v>ARTIFACT_REVIEW, ENGINE_TEST</x:v>
      </x:c>
      <x:c r="J187" s="12" t="str">
        <x:v>M</x:v>
      </x:c>
      <x:c r="K187" s="12" t="str">
        <x:v>reports/tasks/T-120203/evidence.json</x:v>
      </x:c>
      <x:c r="L187" s="12" t="str">
        <x:v>tasks/T-120203.md</x:v>
      </x:c>
      <x:c r="M187" s="12" t="str">
        <x:v>none</x:v>
      </x:c>
    </x:row>
    <x:row r="188" ht="58" customHeight="1">
      <x:c r="A188" s="12" t="str">
        <x:v>T-120204</x:v>
      </x:c>
      <x:c r="B188" s="12" t="str">
        <x:v>S12</x:v>
      </x:c>
      <x:c r="C188" s="12" t="str">
        <x:v>ST-1202</x:v>
      </x:c>
      <x:c r="D188" s="12" t="str">
        <x:v>QA_AGENT</x:v>
      </x:c>
      <x:c r="E188" s="12" t="str">
        <x:v>Test save/journal và clue thiếu</x:v>
      </x:c>
      <x:c r="F188" s="12" t="str">
        <x:v>NOT_STARTED</x:v>
      </x:c>
      <x:c r="G188" s="12" t="str">
        <x:v>T-120101, T-120102, T-120103, T-120104, T-120203</x:v>
      </x:c>
      <x:c r="H188" s="12" t="str">
        <x:v>reports/S12/journal.md</x:v>
      </x:c>
      <x:c r="I188" s="12" t="str">
        <x:v>ARTIFACT_REVIEW, ENGINE_TEST, RENDERED_RUNTIME</x:v>
      </x:c>
      <x:c r="J188" s="12" t="str">
        <x:v>S</x:v>
      </x:c>
      <x:c r="K188" s="12" t="str">
        <x:v>reports/tasks/T-120204/evidence.json</x:v>
      </x:c>
      <x:c r="L188" s="12" t="str">
        <x:v>tasks/T-120204.md</x:v>
      </x:c>
      <x:c r="M188" s="12" t="str">
        <x:v>none</x:v>
      </x:c>
    </x:row>
    <x:row r="189" ht="58" customHeight="1">
      <x:c r="A189" s="12" t="str">
        <x:v>T-120301</x:v>
      </x:c>
      <x:c r="B189" s="12" t="str">
        <x:v>S12</x:v>
      </x:c>
      <x:c r="C189" s="12" t="str">
        <x:v>ST-1203</x:v>
      </x:c>
      <x:c r="D189" s="12" t="str">
        <x:v>GAMEPLAY_AGENT</x:v>
      </x:c>
      <x:c r="E189" s="12" t="str">
        <x:v>Tạo rebind flow và validation key conflicts</x:v>
      </x:c>
      <x:c r="F189" s="12" t="str">
        <x:v>NOT_STARTED</x:v>
      </x:c>
      <x:c r="G189" s="12" t="str">
        <x:v>T-120201, T-120202, T-120203, T-120204</x:v>
      </x:c>
      <x:c r="H189" s="12" t="str">
        <x:v>scenes/ui/input_settings.tscn</x:v>
      </x:c>
      <x:c r="I189" s="12" t="str">
        <x:v>ARTIFACT_REVIEW, ENGINE_TEST</x:v>
      </x:c>
      <x:c r="J189" s="12" t="str">
        <x:v>M</x:v>
      </x:c>
      <x:c r="K189" s="12" t="str">
        <x:v>reports/tasks/T-120301/evidence.json</x:v>
      </x:c>
      <x:c r="L189" s="12" t="str">
        <x:v>tasks/T-120301.md</x:v>
      </x:c>
      <x:c r="M189" s="12" t="str">
        <x:v>none</x:v>
      </x:c>
    </x:row>
    <x:row r="190" ht="58" customHeight="1">
      <x:c r="A190" s="12" t="str">
        <x:v>T-120302</x:v>
      </x:c>
      <x:c r="B190" s="12" t="str">
        <x:v>S12</x:v>
      </x:c>
      <x:c r="C190" s="12" t="str">
        <x:v>ST-1203</x:v>
      </x:c>
      <x:c r="D190" s="12" t="str">
        <x:v>GAMEPLAY_AGENT</x:v>
      </x:c>
      <x:c r="E190" s="12" t="str">
        <x:v>Hoàn thiện glyph focus và hold/toggle options cần thiết</x:v>
      </x:c>
      <x:c r="F190" s="12" t="str">
        <x:v>NOT_STARTED</x:v>
      </x:c>
      <x:c r="G190" s="12" t="str">
        <x:v>T-120201, T-120202, T-120203, T-120204, T-120301</x:v>
      </x:c>
      <x:c r="H190" s="12" t="str">
        <x:v>scripts/input/; data/settings/</x:v>
      </x:c>
      <x:c r="I190" s="12" t="str">
        <x:v>ARTIFACT_REVIEW, ENGINE_TEST</x:v>
      </x:c>
      <x:c r="J190" s="12" t="str">
        <x:v>M</x:v>
      </x:c>
      <x:c r="K190" s="12" t="str">
        <x:v>reports/tasks/T-120302/evidence.json</x:v>
      </x:c>
      <x:c r="L190" s="12" t="str">
        <x:v>tasks/T-120302.md</x:v>
      </x:c>
      <x:c r="M190" s="12" t="str">
        <x:v>none</x:v>
      </x:c>
    </x:row>
    <x:row r="191" ht="58" customHeight="1">
      <x:c r="A191" s="12" t="str">
        <x:v>T-120303</x:v>
      </x:c>
      <x:c r="B191" s="12" t="str">
        <x:v>S12</x:v>
      </x:c>
      <x:c r="C191" s="12" t="str">
        <x:v>ST-1203</x:v>
      </x:c>
      <x:c r="D191" s="12" t="str">
        <x:v>ART_AGENT</x:v>
      </x:c>
      <x:c r="E191" s="12" t="str">
        <x:v>Hoàn thiện UI kit và icons cho journal/settings</x:v>
      </x:c>
      <x:c r="F191" s="12" t="str">
        <x:v>NOT_STARTED</x:v>
      </x:c>
      <x:c r="G191" s="12" t="str">
        <x:v>T-120201, T-120202, T-120203, T-120204, T-120302</x:v>
      </x:c>
      <x:c r="H191" s="12" t="str">
        <x:v>art/ui/</x:v>
      </x:c>
      <x:c r="I191" s="12" t="str">
        <x:v>ARTIFACT_REVIEW, RENDERED_RUNTIME</x:v>
      </x:c>
      <x:c r="J191" s="12" t="str">
        <x:v>L</x:v>
      </x:c>
      <x:c r="K191" s="12" t="str">
        <x:v>reports/tasks/T-120303/evidence.json</x:v>
      </x:c>
      <x:c r="L191" s="12" t="str">
        <x:v>tasks/T-120303.md</x:v>
      </x:c>
      <x:c r="M191" s="12" t="str">
        <x:v>none</x:v>
      </x:c>
    </x:row>
    <x:row r="192" ht="58" customHeight="1">
      <x:c r="A192" s="12" t="str">
        <x:v>T-120304</x:v>
      </x:c>
      <x:c r="B192" s="12" t="str">
        <x:v>S12</x:v>
      </x:c>
      <x:c r="C192" s="12" t="str">
        <x:v>ST-1203</x:v>
      </x:c>
      <x:c r="D192" s="12" t="str">
        <x:v>QA_AGENT</x:v>
      </x:c>
      <x:c r="E192" s="12" t="str">
        <x:v>Test accessibility matrix trong hub/demo</x:v>
      </x:c>
      <x:c r="F192" s="12" t="str">
        <x:v>NOT_STARTED</x:v>
      </x:c>
      <x:c r="G192" s="12" t="str">
        <x:v>T-120201, T-120202, T-120203, T-120204, T-120303</x:v>
      </x:c>
      <x:c r="H192" s="12" t="str">
        <x:v>reports/S12/accessibility.md</x:v>
      </x:c>
      <x:c r="I192" s="12" t="str">
        <x:v>ARTIFACT_REVIEW, ENGINE_TEST, RENDERED_RUNTIME</x:v>
      </x:c>
      <x:c r="J192" s="12" t="str">
        <x:v>M</x:v>
      </x:c>
      <x:c r="K192" s="12" t="str">
        <x:v>reports/tasks/T-120304/evidence.json</x:v>
      </x:c>
      <x:c r="L192" s="12" t="str">
        <x:v>tasks/T-120304.md</x:v>
      </x:c>
      <x:c r="M192" s="12" t="str">
        <x:v>none</x:v>
      </x:c>
    </x:row>
    <x:row r="193" ht="58" customHeight="1">
      <x:c r="A193" s="12" t="str">
        <x:v>T-120401</x:v>
      </x:c>
      <x:c r="B193" s="12" t="str">
        <x:v>S12</x:v>
      </x:c>
      <x:c r="C193" s="12" t="str">
        <x:v>ST-1204</x:v>
      </x:c>
      <x:c r="D193" s="12" t="str">
        <x:v>GAMEPLAY_AGENT</x:v>
      </x:c>
      <x:c r="E193" s="12" t="str">
        <x:v>Tạo chapter template và validator references</x:v>
      </x:c>
      <x:c r="F193" s="12" t="str">
        <x:v>NOT_STARTED</x:v>
      </x:c>
      <x:c r="G193" s="12" t="str">
        <x:v>T-110301, T-110302, T-110303, T-110304, T-120301, T-120302, T-120303, T-120304</x:v>
      </x:c>
      <x:c r="H193" s="12" t="str">
        <x:v>scenes/templates/chapter_template.tscn; tools/validate_content.gd</x:v>
      </x:c>
      <x:c r="I193" s="12" t="str">
        <x:v>ARTIFACT_REVIEW, ENGINE_TEST</x:v>
      </x:c>
      <x:c r="J193" s="12" t="str">
        <x:v>M</x:v>
      </x:c>
      <x:c r="K193" s="12" t="str">
        <x:v>reports/tasks/T-120401/evidence.json</x:v>
      </x:c>
      <x:c r="L193" s="12" t="str">
        <x:v>tasks/T-120401.md</x:v>
      </x:c>
      <x:c r="M193" s="12" t="str">
        <x:v>none</x:v>
      </x:c>
    </x:row>
    <x:row r="194" ht="58" customHeight="1">
      <x:c r="A194" s="12" t="str">
        <x:v>T-120402</x:v>
      </x:c>
      <x:c r="B194" s="12" t="str">
        <x:v>S12</x:v>
      </x:c>
      <x:c r="C194" s="12" t="str">
        <x:v>ST-1204</x:v>
      </x:c>
      <x:c r="D194" s="12" t="str">
        <x:v>QA_AGENT</x:v>
      </x:c>
      <x:c r="E194" s="12" t="str">
        <x:v>Chạy regression P0/slice/multi-zone</x:v>
      </x:c>
      <x:c r="F194" s="12" t="str">
        <x:v>NOT_STARTED</x:v>
      </x:c>
      <x:c r="G194" s="12" t="str">
        <x:v>T-110301, T-110302, T-110303, T-110304, T-120301, T-120302, T-120303, T-120304, T-120401</x:v>
      </x:c>
      <x:c r="H194" s="12" t="str">
        <x:v>reports/S12/system_regression.csv</x:v>
      </x:c>
      <x:c r="I194" s="12" t="str">
        <x:v>ARTIFACT_REVIEW, ENGINE_TEST, RENDERED_RUNTIME</x:v>
      </x:c>
      <x:c r="J194" s="12" t="str">
        <x:v>M</x:v>
      </x:c>
      <x:c r="K194" s="12" t="str">
        <x:v>reports/tasks/T-120402/evidence.json</x:v>
      </x:c>
      <x:c r="L194" s="12" t="str">
        <x:v>tasks/T-120402.md</x:v>
      </x:c>
      <x:c r="M194" s="12" t="str">
        <x:v>none</x:v>
      </x:c>
    </x:row>
    <x:row r="195" ht="58" customHeight="1">
      <x:c r="A195" s="12" t="str">
        <x:v>T-120403</x:v>
      </x:c>
      <x:c r="B195" s="12" t="str">
        <x:v>S12</x:v>
      </x:c>
      <x:c r="C195" s="12" t="str">
        <x:v>ST-1204</x:v>
      </x:c>
      <x:c r="D195" s="12" t="str">
        <x:v>GAMEPLAY_AGENT</x:v>
      </x:c>
      <x:c r="E195" s="12" t="str">
        <x:v>Khóa contract dùng chung và ownership scene</x:v>
      </x:c>
      <x:c r="F195" s="12" t="str">
        <x:v>NOT_STARTED</x:v>
      </x:c>
      <x:c r="G195" s="12" t="str">
        <x:v>T-110301, T-110302, T-110303, T-110304, T-120301, T-120302, T-120303, T-120304, T-120402</x:v>
      </x:c>
      <x:c r="H195" s="12" t="str">
        <x:v>docs/architecture/contracts_v2.md</x:v>
      </x:c>
      <x:c r="I195" s="12" t="str">
        <x:v>ARTIFACT_REVIEW, ENGINE_TEST</x:v>
      </x:c>
      <x:c r="J195" s="12" t="str">
        <x:v>S</x:v>
      </x:c>
      <x:c r="K195" s="12" t="str">
        <x:v>reports/tasks/T-120403/evidence.json</x:v>
      </x:c>
      <x:c r="L195" s="12" t="str">
        <x:v>tasks/T-120403.md</x:v>
      </x:c>
      <x:c r="M195" s="12" t="str">
        <x:v>none</x:v>
      </x:c>
    </x:row>
    <x:row r="196" ht="58" customHeight="1">
      <x:c r="A196" s="12" t="str">
        <x:v>T-120404</x:v>
      </x:c>
      <x:c r="B196" s="12" t="str">
        <x:v>S12</x:v>
      </x:c>
      <x:c r="C196" s="12" t="str">
        <x:v>ST-1204</x:v>
      </x:c>
      <x:c r="D196" s="12" t="str">
        <x:v>ORCHESTRATOR</x:v>
      </x:c>
      <x:c r="E196" s="12" t="str">
        <x:v>Duyệt G3 và pull chapter H02</x:v>
      </x:c>
      <x:c r="F196" s="12" t="str">
        <x:v>NOT_STARTED</x:v>
      </x:c>
      <x:c r="G196" s="12" t="str">
        <x:v>T-110301, T-110302, T-110303, T-110304, T-120301, T-120302, T-120303, T-120304, T-120403</x:v>
      </x:c>
      <x:c r="H196" s="12" t="str">
        <x:v>reports/S12/gate_G3.md</x:v>
      </x:c>
      <x:c r="I196" s="12" t="str">
        <x:v>ARTIFACT_REVIEW</x:v>
      </x:c>
      <x:c r="J196" s="12" t="str">
        <x:v>S</x:v>
      </x:c>
      <x:c r="K196" s="12" t="str">
        <x:v>reports/tasks/T-120404/evidence.json</x:v>
      </x:c>
      <x:c r="L196" s="12" t="str">
        <x:v>tasks/T-120404.md</x:v>
      </x:c>
      <x:c r="M196" s="12" t="str">
        <x:v>none</x:v>
      </x:c>
    </x:row>
    <x:row r="197" ht="58" customHeight="1">
      <x:c r="A197" s="12" t="str">
        <x:v>T-130101</x:v>
      </x:c>
      <x:c r="B197" s="12" t="str">
        <x:v>S13</x:v>
      </x:c>
      <x:c r="C197" s="12" t="str">
        <x:v>ST-1301</x:v>
      </x:c>
      <x:c r="D197" s="12" t="str">
        <x:v>GAMEPLAY_AGENT</x:v>
      </x:c>
      <x:c r="E197" s="12" t="str">
        <x:v>Viết beat sheet, route graph và reveal cho H02</x:v>
      </x:c>
      <x:c r="F197" s="12" t="str">
        <x:v>NOT_STARTED</x:v>
      </x:c>
      <x:c r="G197" s="12" t="str">
        <x:v>T-120401, T-120402, T-120403, T-120404</x:v>
      </x:c>
      <x:c r="H197" s="12" t="str">
        <x:v>docs/chapters/ch02.md</x:v>
      </x:c>
      <x:c r="I197" s="12" t="str">
        <x:v>ARTIFACT_REVIEW, ENGINE_TEST</x:v>
      </x:c>
      <x:c r="J197" s="12" t="str">
        <x:v>M</x:v>
      </x:c>
      <x:c r="K197" s="12" t="str">
        <x:v>reports/tasks/T-130101/evidence.json</x:v>
      </x:c>
      <x:c r="L197" s="12" t="str">
        <x:v>tasks/T-130101.md</x:v>
      </x:c>
      <x:c r="M197" s="12" t="str">
        <x:v>none</x:v>
      </x:c>
    </x:row>
    <x:row r="198" ht="58" customHeight="1">
      <x:c r="A198" s="12" t="str">
        <x:v>T-130102</x:v>
      </x:c>
      <x:c r="B198" s="12" t="str">
        <x:v>S13</x:v>
      </x:c>
      <x:c r="C198" s="12" t="str">
        <x:v>ST-1301</x:v>
      </x:c>
      <x:c r="D198" s="12" t="str">
        <x:v>GAMEPLAY_AGENT</x:v>
      </x:c>
      <x:c r="E198" s="12" t="str">
        <x:v>Blockout H02 / sân chung / góc ký ức</x:v>
      </x:c>
      <x:c r="F198" s="12" t="str">
        <x:v>NOT_STARTED</x:v>
      </x:c>
      <x:c r="G198" s="12" t="str">
        <x:v>T-120401, T-120402, T-120403, T-120404, T-130101</x:v>
      </x:c>
      <x:c r="H198" s="12" t="str">
        <x:v>scenes/levels/ch02/ch02_level.tscn</x:v>
      </x:c>
      <x:c r="I198" s="12" t="str">
        <x:v>ARTIFACT_REVIEW, ENGINE_TEST</x:v>
      </x:c>
      <x:c r="J198" s="12" t="str">
        <x:v>L</x:v>
      </x:c>
      <x:c r="K198" s="12" t="str">
        <x:v>reports/tasks/T-130102/evidence.json</x:v>
      </x:c>
      <x:c r="L198" s="12" t="str">
        <x:v>tasks/T-130102.md</x:v>
      </x:c>
      <x:c r="M198" s="12" t="str">
        <x:v>none</x:v>
      </x:c>
    </x:row>
    <x:row r="199" ht="58" customHeight="1">
      <x:c r="A199" s="12" t="str">
        <x:v>T-130103</x:v>
      </x:c>
      <x:c r="B199" s="12" t="str">
        <x:v>S13</x:v>
      </x:c>
      <x:c r="C199" s="12" t="str">
        <x:v>ST-1301</x:v>
      </x:c>
      <x:c r="D199" s="12" t="str">
        <x:v>GAMEPLAY_AGENT</x:v>
      </x:c>
      <x:c r="E199" s="12" t="str">
        <x:v>Gắn ChapterManifest, house erasure và hub exits H02</x:v>
      </x:c>
      <x:c r="F199" s="12" t="str">
        <x:v>NOT_STARTED</x:v>
      </x:c>
      <x:c r="G199" s="12" t="str">
        <x:v>T-120401, T-120402, T-120403, T-120404, T-130102</x:v>
      </x:c>
      <x:c r="H199" s="12" t="str">
        <x:v>data/chapters/ch02.tres</x:v>
      </x:c>
      <x:c r="I199" s="12" t="str">
        <x:v>ARTIFACT_REVIEW, ENGINE_TEST</x:v>
      </x:c>
      <x:c r="J199" s="12" t="str">
        <x:v>M</x:v>
      </x:c>
      <x:c r="K199" s="12" t="str">
        <x:v>reports/tasks/T-130103/evidence.json</x:v>
      </x:c>
      <x:c r="L199" s="12" t="str">
        <x:v>tasks/T-130103.md</x:v>
      </x:c>
      <x:c r="M199" s="12" t="str">
        <x:v>none</x:v>
      </x:c>
    </x:row>
    <x:row r="200" ht="58" customHeight="1">
      <x:c r="A200" s="12" t="str">
        <x:v>T-130104</x:v>
      </x:c>
      <x:c r="B200" s="12" t="str">
        <x:v>S13</x:v>
      </x:c>
      <x:c r="C200" s="12" t="str">
        <x:v>ST-1301</x:v>
      </x:c>
      <x:c r="D200" s="12" t="str">
        <x:v>QA_AGENT</x:v>
      </x:c>
      <x:c r="E200" s="12" t="str">
        <x:v>Test load checkpoint và đi lại trong H02</x:v>
      </x:c>
      <x:c r="F200" s="12" t="str">
        <x:v>NOT_STARTED</x:v>
      </x:c>
      <x:c r="G200" s="12" t="str">
        <x:v>T-120401, T-120402, T-120403, T-120404, T-130103</x:v>
      </x:c>
      <x:c r="H200" s="12" t="str">
        <x:v>reports/S13/ch02_traversal.md</x:v>
      </x:c>
      <x:c r="I200" s="12" t="str">
        <x:v>ARTIFACT_REVIEW, ENGINE_TEST, RENDERED_RUNTIME</x:v>
      </x:c>
      <x:c r="J200" s="12" t="str">
        <x:v>S</x:v>
      </x:c>
      <x:c r="K200" s="12" t="str">
        <x:v>reports/tasks/T-130104/evidence.json</x:v>
      </x:c>
      <x:c r="L200" s="12" t="str">
        <x:v>tasks/T-130104.md</x:v>
      </x:c>
      <x:c r="M200" s="12" t="str">
        <x:v>none</x:v>
      </x:c>
    </x:row>
    <x:row r="201" ht="58" customHeight="1">
      <x:c r="A201" s="12" t="str">
        <x:v>T-130201</x:v>
      </x:c>
      <x:c r="B201" s="12" t="str">
        <x:v>S13</x:v>
      </x:c>
      <x:c r="C201" s="12" t="str">
        <x:v>ST-1302</x:v>
      </x:c>
      <x:c r="D201" s="12" t="str">
        <x:v>GAMEPLAY_AGENT</x:v>
      </x:c>
      <x:c r="E201" s="12" t="str">
        <x:v>Đặc tả state graph và hint của P05</x:v>
      </x:c>
      <x:c r="F201" s="12" t="str">
        <x:v>NOT_STARTED</x:v>
      </x:c>
      <x:c r="G201" s="12" t="str">
        <x:v>T-130101, T-130102, T-130103, T-130104</x:v>
      </x:c>
      <x:c r="H201" s="12" t="str">
        <x:v>docs/puzzles/P05.md</x:v>
      </x:c>
      <x:c r="I201" s="12" t="str">
        <x:v>ARTIFACT_REVIEW, ENGINE_TEST</x:v>
      </x:c>
      <x:c r="J201" s="12" t="str">
        <x:v>M</x:v>
      </x:c>
      <x:c r="K201" s="12" t="str">
        <x:v>reports/tasks/T-130201/evidence.json</x:v>
      </x:c>
      <x:c r="L201" s="12" t="str">
        <x:v>tasks/T-130201.md</x:v>
      </x:c>
      <x:c r="M201" s="12" t="str">
        <x:v>none</x:v>
      </x:c>
    </x:row>
    <x:row r="202" ht="58" customHeight="1">
      <x:c r="A202" s="12" t="str">
        <x:v>T-130202</x:v>
      </x:c>
      <x:c r="B202" s="12" t="str">
        <x:v>S13</x:v>
      </x:c>
      <x:c r="C202" s="12" t="str">
        <x:v>ST-1302</x:v>
      </x:c>
      <x:c r="D202" s="12" t="str">
        <x:v>GAMEPLAY_AGENT</x:v>
      </x:c>
      <x:c r="E202" s="12" t="str">
        <x:v>Implement tương tác và điều kiện P05</x:v>
      </x:c>
      <x:c r="F202" s="12" t="str">
        <x:v>NOT_STARTED</x:v>
      </x:c>
      <x:c r="G202" s="12" t="str">
        <x:v>T-130101, T-130102, T-130103, T-130104, T-130201</x:v>
      </x:c>
      <x:c r="H202" s="12" t="str">
        <x:v>data/puzzles/P05.tres; scenes/puzzles/P05.tscn</x:v>
      </x:c>
      <x:c r="I202" s="12" t="str">
        <x:v>ARTIFACT_REVIEW, ENGINE_TEST</x:v>
      </x:c>
      <x:c r="J202" s="12" t="str">
        <x:v>L</x:v>
      </x:c>
      <x:c r="K202" s="12" t="str">
        <x:v>reports/tasks/T-130202/evidence.json</x:v>
      </x:c>
      <x:c r="L202" s="12" t="str">
        <x:v>tasks/T-130202.md</x:v>
      </x:c>
      <x:c r="M202" s="12" t="str">
        <x:v>none</x:v>
      </x:c>
    </x:row>
    <x:row r="203" ht="58" customHeight="1">
      <x:c r="A203" s="12" t="str">
        <x:v>T-130203</x:v>
      </x:c>
      <x:c r="B203" s="12" t="str">
        <x:v>S13</x:v>
      </x:c>
      <x:c r="C203" s="12" t="str">
        <x:v>ST-1302</x:v>
      </x:c>
      <x:c r="D203" s="12" t="str">
        <x:v>GAMEPLAY_AGENT</x:v>
      </x:c>
      <x:c r="E203" s="12" t="str">
        <x:v>Ghép clue/reward và feedback của P05</x:v>
      </x:c>
      <x:c r="F203" s="12" t="str">
        <x:v>NOT_STARTED</x:v>
      </x:c>
      <x:c r="G203" s="12" t="str">
        <x:v>T-130101, T-130102, T-130103, T-130104, T-130202</x:v>
      </x:c>
      <x:c r="H203" s="12" t="str">
        <x:v>data/evidence/H02/; data/hints/ch02.tres</x:v>
      </x:c>
      <x:c r="I203" s="12" t="str">
        <x:v>ARTIFACT_REVIEW, ENGINE_TEST</x:v>
      </x:c>
      <x:c r="J203" s="12" t="str">
        <x:v>M</x:v>
      </x:c>
      <x:c r="K203" s="12" t="str">
        <x:v>reports/tasks/T-130203/evidence.json</x:v>
      </x:c>
      <x:c r="L203" s="12" t="str">
        <x:v>tasks/T-130203.md</x:v>
      </x:c>
      <x:c r="M203" s="12" t="str">
        <x:v>none</x:v>
      </x:c>
    </x:row>
    <x:row r="204" ht="58" customHeight="1">
      <x:c r="A204" s="12" t="str">
        <x:v>T-130204</x:v>
      </x:c>
      <x:c r="B204" s="12" t="str">
        <x:v>S13</x:v>
      </x:c>
      <x:c r="C204" s="12" t="str">
        <x:v>ST-1302</x:v>
      </x:c>
      <x:c r="D204" s="12" t="str">
        <x:v>QA_AGENT</x:v>
      </x:c>
      <x:c r="E204" s="12" t="str">
        <x:v>Test lời giải sai/đúng/reload P05</x:v>
      </x:c>
      <x:c r="F204" s="12" t="str">
        <x:v>NOT_STARTED</x:v>
      </x:c>
      <x:c r="G204" s="12" t="str">
        <x:v>T-130101, T-130102, T-130103, T-130104, T-130203</x:v>
      </x:c>
      <x:c r="H204" s="12" t="str">
        <x:v>reports/S13/P05_tests.md</x:v>
      </x:c>
      <x:c r="I204" s="12" t="str">
        <x:v>ARTIFACT_REVIEW, ENGINE_TEST, RENDERED_RUNTIME</x:v>
      </x:c>
      <x:c r="J204" s="12" t="str">
        <x:v>S</x:v>
      </x:c>
      <x:c r="K204" s="12" t="str">
        <x:v>reports/tasks/T-130204/evidence.json</x:v>
      </x:c>
      <x:c r="L204" s="12" t="str">
        <x:v>tasks/T-130204.md</x:v>
      </x:c>
      <x:c r="M204" s="12" t="str">
        <x:v>none</x:v>
      </x:c>
    </x:row>
    <x:row r="205" ht="58" customHeight="1">
      <x:c r="A205" s="12" t="str">
        <x:v>T-130301</x:v>
      </x:c>
      <x:c r="B205" s="12" t="str">
        <x:v>S13</x:v>
      </x:c>
      <x:c r="C205" s="12" t="str">
        <x:v>ST-1303</x:v>
      </x:c>
      <x:c r="D205" s="12" t="str">
        <x:v>ART_AGENT</x:v>
      </x:c>
      <x:c r="E205" s="12" t="str">
        <x:v>Dựng layout art từ greybox H02</x:v>
      </x:c>
      <x:c r="F205" s="12" t="str">
        <x:v>NOT_STARTED</x:v>
      </x:c>
      <x:c r="G205" s="12" t="str">
        <x:v>T-110301, T-110302, T-110303, T-110304, T-130101, T-130102, T-130103, T-130104</x:v>
      </x:c>
      <x:c r="H205" s="12" t="str">
        <x:v>art/source/ch02_layout.blend</x:v>
      </x:c>
      <x:c r="I205" s="12" t="str">
        <x:v>ARTIFACT_REVIEW, RENDERED_RUNTIME</x:v>
      </x:c>
      <x:c r="J205" s="12" t="str">
        <x:v>L</x:v>
      </x:c>
      <x:c r="K205" s="12" t="str">
        <x:v>reports/tasks/T-130301/evidence.json</x:v>
      </x:c>
      <x:c r="L205" s="12" t="str">
        <x:v>tasks/T-130301.md</x:v>
      </x:c>
      <x:c r="M205" s="12" t="str">
        <x:v>none</x:v>
      </x:c>
    </x:row>
    <x:row r="206" ht="58" customHeight="1">
      <x:c r="A206" s="12" t="str">
        <x:v>T-130302</x:v>
      </x:c>
      <x:c r="B206" s="12" t="str">
        <x:v>S13</x:v>
      </x:c>
      <x:c r="C206" s="12" t="str">
        <x:v>ST-1303</x:v>
      </x:c>
      <x:c r="D206" s="12" t="str">
        <x:v>ART_AGENT</x:v>
      </x:c>
      <x:c r="E206" s="12" t="str">
        <x:v>Dựng nhóm prop puzzle P05/P06</x:v>
      </x:c>
      <x:c r="F206" s="12" t="str">
        <x:v>NOT_STARTED</x:v>
      </x:c>
      <x:c r="G206" s="12" t="str">
        <x:v>T-110301, T-110302, T-110303, T-110304, T-130101, T-130102, T-130103, T-130104, T-130301</x:v>
      </x:c>
      <x:c r="H206" s="12" t="str">
        <x:v>art/export/props/ch02/</x:v>
      </x:c>
      <x:c r="I206" s="12" t="str">
        <x:v>ARTIFACT_REVIEW, RENDERED_RUNTIME</x:v>
      </x:c>
      <x:c r="J206" s="12" t="str">
        <x:v>L</x:v>
      </x:c>
      <x:c r="K206" s="12" t="str">
        <x:v>reports/tasks/T-130302/evidence.json</x:v>
      </x:c>
      <x:c r="L206" s="12" t="str">
        <x:v>tasks/T-130302.md</x:v>
      </x:c>
      <x:c r="M206" s="12" t="str">
        <x:v>none</x:v>
      </x:c>
    </x:row>
    <x:row r="207" ht="58" customHeight="1">
      <x:c r="A207" s="12" t="str">
        <x:v>T-130303</x:v>
      </x:c>
      <x:c r="B207" s="12" t="str">
        <x:v>S13</x:v>
      </x:c>
      <x:c r="C207" s="12" t="str">
        <x:v>ST-1303</x:v>
      </x:c>
      <x:c r="D207" s="12" t="str">
        <x:v>ART_AGENT</x:v>
      </x:c>
      <x:c r="E207" s="12" t="str">
        <x:v>Chuẩn bị variant REAL/ERASED cho H02</x:v>
      </x:c>
      <x:c r="F207" s="12" t="str">
        <x:v>NOT_STARTED</x:v>
      </x:c>
      <x:c r="G207" s="12" t="str">
        <x:v>T-110301, T-110302, T-110303, T-110304, T-130101, T-130102, T-130103, T-130104, T-130302</x:v>
      </x:c>
      <x:c r="H207" s="12" t="str">
        <x:v>art/export/environment/ch02/</x:v>
      </x:c>
      <x:c r="I207" s="12" t="str">
        <x:v>ARTIFACT_REVIEW, RENDERED_RUNTIME</x:v>
      </x:c>
      <x:c r="J207" s="12" t="str">
        <x:v>L</x:v>
      </x:c>
      <x:c r="K207" s="12" t="str">
        <x:v>reports/tasks/T-130303/evidence.json</x:v>
      </x:c>
      <x:c r="L207" s="12" t="str">
        <x:v>tasks/T-130303.md</x:v>
      </x:c>
      <x:c r="M207" s="12" t="str">
        <x:v>none</x:v>
      </x:c>
    </x:row>
    <x:row r="208" ht="58" customHeight="1">
      <x:c r="A208" s="12" t="str">
        <x:v>T-130304</x:v>
      </x:c>
      <x:c r="B208" s="12" t="str">
        <x:v>S13</x:v>
      </x:c>
      <x:c r="C208" s="12" t="str">
        <x:v>ST-1303</x:v>
      </x:c>
      <x:c r="D208" s="12" t="str">
        <x:v>ORCHESTRATOR</x:v>
      </x:c>
      <x:c r="E208" s="12" t="str">
        <x:v>Import art đầu và kiểm tra collision H02</x:v>
      </x:c>
      <x:c r="F208" s="12" t="str">
        <x:v>NOT_STARTED</x:v>
      </x:c>
      <x:c r="G208" s="12" t="str">
        <x:v>T-110301, T-110302, T-110303, T-110304, T-130101, T-130102, T-130103, T-130104, T-130303</x:v>
      </x:c>
      <x:c r="H208" s="12" t="str">
        <x:v>reports/S13/ch02_asset_review.md</x:v>
      </x:c>
      <x:c r="I208" s="12" t="str">
        <x:v>ARTIFACT_REVIEW</x:v>
      </x:c>
      <x:c r="J208" s="12" t="str">
        <x:v>M</x:v>
      </x:c>
      <x:c r="K208" s="12" t="str">
        <x:v>reports/tasks/T-130304/evidence.json</x:v>
      </x:c>
      <x:c r="L208" s="12" t="str">
        <x:v>tasks/T-130304.md</x:v>
      </x:c>
      <x:c r="M208" s="12" t="str">
        <x:v>none</x:v>
      </x:c>
    </x:row>
    <x:row r="209" ht="58" customHeight="1">
      <x:c r="A209" s="12" t="str">
        <x:v>T-130401</x:v>
      </x:c>
      <x:c r="B209" s="12" t="str">
        <x:v>S13</x:v>
      </x:c>
      <x:c r="C209" s="12" t="str">
        <x:v>ST-1304</x:v>
      </x:c>
      <x:c r="D209" s="12" t="str">
        <x:v>GAMEPLAY_AGENT</x:v>
      </x:c>
      <x:c r="E209" s="12" t="str">
        <x:v>Implement state graph và tương tác P06</x:v>
      </x:c>
      <x:c r="F209" s="12" t="str">
        <x:v>NOT_STARTED</x:v>
      </x:c>
      <x:c r="G209" s="12" t="str">
        <x:v>T-130201, T-130202, T-130203, T-130204, T-130301, T-130302, T-130303, T-130304</x:v>
      </x:c>
      <x:c r="H209" s="12" t="str">
        <x:v>docs/puzzles/P06.md; data/puzzles/P06.tres</x:v>
      </x:c>
      <x:c r="I209" s="12" t="str">
        <x:v>ARTIFACT_REVIEW, ENGINE_TEST</x:v>
      </x:c>
      <x:c r="J209" s="12" t="str">
        <x:v>L</x:v>
      </x:c>
      <x:c r="K209" s="12" t="str">
        <x:v>reports/tasks/T-130401/evidence.json</x:v>
      </x:c>
      <x:c r="L209" s="12" t="str">
        <x:v>tasks/T-130401.md</x:v>
      </x:c>
      <x:c r="M209" s="12" t="str">
        <x:v>none</x:v>
      </x:c>
    </x:row>
    <x:row r="210" ht="58" customHeight="1">
      <x:c r="A210" s="12" t="str">
        <x:v>T-130402</x:v>
      </x:c>
      <x:c r="B210" s="12" t="str">
        <x:v>S13</x:v>
      </x:c>
      <x:c r="C210" s="12" t="str">
        <x:v>ST-1304</x:v>
      </x:c>
      <x:c r="D210" s="12" t="str">
        <x:v>GAMEPLAY_AGENT</x:v>
      </x:c>
      <x:c r="E210" s="12" t="str">
        <x:v>Dựng nhánh M02 — Nét thêu chỉ đường qua sân bà Liên</x:v>
      </x:c>
      <x:c r="F210" s="12" t="str">
        <x:v>NOT_STARTED</x:v>
      </x:c>
      <x:c r="G210" s="12" t="str">
        <x:v>T-130201, T-130202, T-130203, T-130204, T-130301, T-130302, T-130303, T-130304, T-130401</x:v>
      </x:c>
      <x:c r="H210" s="12" t="str">
        <x:v>data/evidence/M02.tres; scenes/levels/ch02/</x:v>
      </x:c>
      <x:c r="I210" s="12" t="str">
        <x:v>ARTIFACT_REVIEW, ENGINE_TEST</x:v>
      </x:c>
      <x:c r="J210" s="12" t="str">
        <x:v>L</x:v>
      </x:c>
      <x:c r="K210" s="12" t="str">
        <x:v>reports/tasks/T-130402/evidence.json</x:v>
      </x:c>
      <x:c r="L210" s="12" t="str">
        <x:v>tasks/T-130402.md</x:v>
      </x:c>
      <x:c r="M210" s="12" t="str">
        <x:v>none</x:v>
      </x:c>
    </x:row>
    <x:row r="211" ht="58" customHeight="1">
      <x:c r="A211" s="12" t="str">
        <x:v>T-130403</x:v>
      </x:c>
      <x:c r="B211" s="12" t="str">
        <x:v>S13</x:v>
      </x:c>
      <x:c r="C211" s="12" t="str">
        <x:v>ST-1304</x:v>
      </x:c>
      <x:c r="D211" s="12" t="str">
        <x:v>GAMEPLAY_AGENT</x:v>
      </x:c>
      <x:c r="E211" s="12" t="str">
        <x:v>Ghép completion và handoff CH2→CH3</x:v>
      </x:c>
      <x:c r="F211" s="12" t="str">
        <x:v>NOT_STARTED</x:v>
      </x:c>
      <x:c r="G211" s="12" t="str">
        <x:v>T-130201, T-130202, T-130203, T-130204, T-130301, T-130302, T-130303, T-130304, T-130402</x:v>
      </x:c>
      <x:c r="H211" s="12" t="str">
        <x:v>data/story/ch02_handoff.tres</x:v>
      </x:c>
      <x:c r="I211" s="12" t="str">
        <x:v>ARTIFACT_REVIEW, ENGINE_TEST</x:v>
      </x:c>
      <x:c r="J211" s="12" t="str">
        <x:v>M</x:v>
      </x:c>
      <x:c r="K211" s="12" t="str">
        <x:v>reports/tasks/T-130403/evidence.json</x:v>
      </x:c>
      <x:c r="L211" s="12" t="str">
        <x:v>tasks/T-130403.md</x:v>
      </x:c>
      <x:c r="M211" s="12" t="str">
        <x:v>none</x:v>
      </x:c>
    </x:row>
    <x:row r="212" ht="58" customHeight="1">
      <x:c r="A212" s="12" t="str">
        <x:v>T-130404</x:v>
      </x:c>
      <x:c r="B212" s="12" t="str">
        <x:v>S13</x:v>
      </x:c>
      <x:c r="C212" s="12" t="str">
        <x:v>ST-1304</x:v>
      </x:c>
      <x:c r="D212" s="12" t="str">
        <x:v>QA_AGENT</x:v>
      </x:c>
      <x:c r="E212" s="12" t="str">
        <x:v>Test greybox chapter H02 từ cold start</x:v>
      </x:c>
      <x:c r="F212" s="12" t="str">
        <x:v>NOT_STARTED</x:v>
      </x:c>
      <x:c r="G212" s="12" t="str">
        <x:v>T-130201, T-130202, T-130203, T-130204, T-130301, T-130302, T-130303, T-130304, T-130403</x:v>
      </x:c>
      <x:c r="H212" s="12" t="str">
        <x:v>reports/S13/ch02_greybox.md</x:v>
      </x:c>
      <x:c r="I212" s="12" t="str">
        <x:v>ARTIFACT_REVIEW, ENGINE_TEST, RENDERED_RUNTIME</x:v>
      </x:c>
      <x:c r="J212" s="12" t="str">
        <x:v>S</x:v>
      </x:c>
      <x:c r="K212" s="12" t="str">
        <x:v>reports/tasks/T-130404/evidence.json</x:v>
      </x:c>
      <x:c r="L212" s="12" t="str">
        <x:v>tasks/T-130404.md</x:v>
      </x:c>
      <x:c r="M212" s="12" t="str">
        <x:v>none</x:v>
      </x:c>
    </x:row>
    <x:row r="213" ht="58" customHeight="1">
      <x:c r="A213" s="12" t="str">
        <x:v>T-140101</x:v>
      </x:c>
      <x:c r="B213" s="12" t="str">
        <x:v>S14</x:v>
      </x:c>
      <x:c r="C213" s="12" t="str">
        <x:v>ST-1401</x:v>
      </x:c>
      <x:c r="D213" s="12" t="str">
        <x:v>NARRATIVE_AGENT</x:v>
      </x:c>
      <x:c r="E213" s="12" t="str">
        <x:v>Viết final dialogue, inspect text và captions H02</x:v>
      </x:c>
      <x:c r="F213" s="12" t="str">
        <x:v>NOT_STARTED</x:v>
      </x:c>
      <x:c r="G213" s="12" t="str">
        <x:v>T-130401, T-130402, T-130403, T-130404</x:v>
      </x:c>
      <x:c r="H213" s="12" t="str">
        <x:v>data/dialogue/ch02/; localization/vi.csv</x:v>
      </x:c>
      <x:c r="I213" s="12" t="str">
        <x:v>ARTIFACT_REVIEW</x:v>
      </x:c>
      <x:c r="J213" s="12" t="str">
        <x:v>M</x:v>
      </x:c>
      <x:c r="K213" s="12" t="str">
        <x:v>reports/tasks/T-140101/evidence.json</x:v>
      </x:c>
      <x:c r="L213" s="12" t="str">
        <x:v>tasks/T-140101.md</x:v>
      </x:c>
      <x:c r="M213" s="12" t="str">
        <x:v>none</x:v>
      </x:c>
    </x:row>
    <x:row r="214" ht="58" customHeight="1">
      <x:c r="A214" s="12" t="str">
        <x:v>T-140102</x:v>
      </x:c>
      <x:c r="B214" s="12" t="str">
        <x:v>S14</x:v>
      </x:c>
      <x:c r="C214" s="12" t="str">
        <x:v>ST-1401</x:v>
      </x:c>
      <x:c r="D214" s="12" t="str">
        <x:v>GAMEPLAY_AGENT</x:v>
      </x:c>
      <x:c r="E214" s="12" t="str">
        <x:v>Ghép trigger diễn xuất và camera focus H02</x:v>
      </x:c>
      <x:c r="F214" s="12" t="str">
        <x:v>NOT_STARTED</x:v>
      </x:c>
      <x:c r="G214" s="12" t="str">
        <x:v>T-130401, T-130402, T-130403, T-130404, T-140101</x:v>
      </x:c>
      <x:c r="H214" s="12" t="str">
        <x:v>data/sequences/ch02/; scenes/levels/ch02/</x:v>
      </x:c>
      <x:c r="I214" s="12" t="str">
        <x:v>ARTIFACT_REVIEW, ENGINE_TEST, RENDERED_RUNTIME</x:v>
      </x:c>
      <x:c r="J214" s="12" t="str">
        <x:v>L</x:v>
      </x:c>
      <x:c r="K214" s="12" t="str">
        <x:v>reports/tasks/T-140102/evidence.json</x:v>
      </x:c>
      <x:c r="L214" s="12" t="str">
        <x:v>tasks/T-140102.md</x:v>
      </x:c>
      <x:c r="M214" s="12" t="str">
        <x:v>none</x:v>
      </x:c>
    </x:row>
    <x:row r="215" ht="58" customHeight="1">
      <x:c r="A215" s="12" t="str">
        <x:v>T-140103</x:v>
      </x:c>
      <x:c r="B215" s="12" t="str">
        <x:v>S14</x:v>
      </x:c>
      <x:c r="C215" s="12" t="str">
        <x:v>ST-1401</x:v>
      </x:c>
      <x:c r="D215" s="12" t="str">
        <x:v>GAMEPLAY_AGENT</x:v>
      </x:c>
      <x:c r="E215" s="12" t="str">
        <x:v>Cấu hình nhịp encounter hoặc nghỉ nhịp H02</x:v>
      </x:c>
      <x:c r="F215" s="12" t="str">
        <x:v>NOT_STARTED</x:v>
      </x:c>
      <x:c r="G215" s="12" t="str">
        <x:v>T-130401, T-130402, T-130403, T-130404, T-140102</x:v>
      </x:c>
      <x:c r="H215" s="12" t="str">
        <x:v>data/encounters/ch02.tres</x:v>
      </x:c>
      <x:c r="I215" s="12" t="str">
        <x:v>ARTIFACT_REVIEW, ENGINE_TEST</x:v>
      </x:c>
      <x:c r="J215" s="12" t="str">
        <x:v>M</x:v>
      </x:c>
      <x:c r="K215" s="12" t="str">
        <x:v>reports/tasks/T-140103/evidence.json</x:v>
      </x:c>
      <x:c r="L215" s="12" t="str">
        <x:v>tasks/T-140103.md</x:v>
      </x:c>
      <x:c r="M215" s="12" t="str">
        <x:v>none</x:v>
      </x:c>
    </x:row>
    <x:row r="216" ht="58" customHeight="1">
      <x:c r="A216" s="12" t="str">
        <x:v>T-140104</x:v>
      </x:c>
      <x:c r="B216" s="12" t="str">
        <x:v>S14</x:v>
      </x:c>
      <x:c r="C216" s="12" t="str">
        <x:v>ST-1401</x:v>
      </x:c>
      <x:c r="D216" s="12" t="str">
        <x:v>GAMEPLAY_AGENT</x:v>
      </x:c>
      <x:c r="E216" s="12" t="str">
        <x:v>Kiểm tra reveal và skip/reload H02</x:v>
      </x:c>
      <x:c r="F216" s="12" t="str">
        <x:v>NOT_STARTED</x:v>
      </x:c>
      <x:c r="G216" s="12" t="str">
        <x:v>T-130401, T-130402, T-130403, T-130404, T-140103</x:v>
      </x:c>
      <x:c r="H216" s="12" t="str">
        <x:v>reports/S14/ch02_narrative.md</x:v>
      </x:c>
      <x:c r="I216" s="12" t="str">
        <x:v>ARTIFACT_REVIEW, ENGINE_TEST</x:v>
      </x:c>
      <x:c r="J216" s="12" t="str">
        <x:v>S</x:v>
      </x:c>
      <x:c r="K216" s="12" t="str">
        <x:v>reports/tasks/T-140104/evidence.json</x:v>
      </x:c>
      <x:c r="L216" s="12" t="str">
        <x:v>tasks/T-140104.md</x:v>
      </x:c>
      <x:c r="M216" s="12" t="str">
        <x:v>none</x:v>
      </x:c>
    </x:row>
    <x:row r="217" ht="58" customHeight="1">
      <x:c r="A217" s="12" t="str">
        <x:v>T-140201</x:v>
      </x:c>
      <x:c r="B217" s="12" t="str">
        <x:v>S14</x:v>
      </x:c>
      <x:c r="C217" s="12" t="str">
        <x:v>ST-1402</x:v>
      </x:c>
      <x:c r="D217" s="12" t="str">
        <x:v>ART_AGENT</x:v>
      </x:c>
      <x:c r="E217" s="12" t="str">
        <x:v>Hoàn thiện material/lighting môi trường H02</x:v>
      </x:c>
      <x:c r="F217" s="12" t="str">
        <x:v>NOT_STARTED</x:v>
      </x:c>
      <x:c r="G217" s="12" t="str">
        <x:v>T-130301, T-130302, T-130303, T-130304, T-140101, T-140102, T-140103, T-140104</x:v>
      </x:c>
      <x:c r="H217" s="12" t="str">
        <x:v>art/export/environment/ch02_final/</x:v>
      </x:c>
      <x:c r="I217" s="12" t="str">
        <x:v>ARTIFACT_REVIEW, RENDERED_RUNTIME</x:v>
      </x:c>
      <x:c r="J217" s="12" t="str">
        <x:v>L</x:v>
      </x:c>
      <x:c r="K217" s="12" t="str">
        <x:v>reports/tasks/T-140201/evidence.json</x:v>
      </x:c>
      <x:c r="L217" s="12" t="str">
        <x:v>tasks/T-140201.md</x:v>
      </x:c>
      <x:c r="M217" s="12" t="str">
        <x:v>none</x:v>
      </x:c>
    </x:row>
    <x:row r="218" ht="58" customHeight="1">
      <x:c r="A218" s="12" t="str">
        <x:v>T-140202</x:v>
      </x:c>
      <x:c r="B218" s="12" t="str">
        <x:v>S14</x:v>
      </x:c>
      <x:c r="C218" s="12" t="str">
        <x:v>ST-1402</x:v>
      </x:c>
      <x:c r="D218" s="12" t="str">
        <x:v>ART_AGENT</x:v>
      </x:c>
      <x:c r="E218" s="12" t="str">
        <x:v>Hoàn thiện props/NPC diễn xuất trọng tâm H02</x:v>
      </x:c>
      <x:c r="F218" s="12" t="str">
        <x:v>NOT_STARTED</x:v>
      </x:c>
      <x:c r="G218" s="12" t="str">
        <x:v>T-130301, T-130302, T-130303, T-130304, T-140101, T-140102, T-140103, T-140104, T-140201</x:v>
      </x:c>
      <x:c r="H218" s="12" t="str">
        <x:v>art/export/characters/ch02/; art/export/props/ch02/</x:v>
      </x:c>
      <x:c r="I218" s="12" t="str">
        <x:v>ARTIFACT_REVIEW, RENDERED_RUNTIME</x:v>
      </x:c>
      <x:c r="J218" s="12" t="str">
        <x:v>L</x:v>
      </x:c>
      <x:c r="K218" s="12" t="str">
        <x:v>reports/tasks/T-140202/evidence.json</x:v>
      </x:c>
      <x:c r="L218" s="12" t="str">
        <x:v>tasks/T-140202.md</x:v>
      </x:c>
      <x:c r="M218" s="12" t="str">
        <x:v>none</x:v>
      </x:c>
    </x:row>
    <x:row r="219" ht="58" customHeight="1">
      <x:c r="A219" s="12" t="str">
        <x:v>T-140203</x:v>
      </x:c>
      <x:c r="B219" s="12" t="str">
        <x:v>S14</x:v>
      </x:c>
      <x:c r="C219" s="12" t="str">
        <x:v>ST-1402</x:v>
      </x:c>
      <x:c r="D219" s="12" t="str">
        <x:v>ART_AGENT</x:v>
      </x:c>
      <x:c r="E219" s="12" t="str">
        <x:v>Set dress và kiểm tra silhouette H02</x:v>
      </x:c>
      <x:c r="F219" s="12" t="str">
        <x:v>NOT_STARTED</x:v>
      </x:c>
      <x:c r="G219" s="12" t="str">
        <x:v>T-130301, T-130302, T-130303, T-130304, T-140101, T-140102, T-140103, T-140104, T-140202</x:v>
      </x:c>
      <x:c r="H219" s="12" t="str">
        <x:v>art/lighting/ch02/</x:v>
      </x:c>
      <x:c r="I219" s="12" t="str">
        <x:v>ARTIFACT_REVIEW, RENDERED_RUNTIME</x:v>
      </x:c>
      <x:c r="J219" s="12" t="str">
        <x:v>L</x:v>
      </x:c>
      <x:c r="K219" s="12" t="str">
        <x:v>reports/tasks/T-140203/evidence.json</x:v>
      </x:c>
      <x:c r="L219" s="12" t="str">
        <x:v>tasks/T-140203.md</x:v>
      </x:c>
      <x:c r="M219" s="12" t="str">
        <x:v>none</x:v>
      </x:c>
    </x:row>
    <x:row r="220" ht="58" customHeight="1">
      <x:c r="A220" s="12" t="str">
        <x:v>T-140204</x:v>
      </x:c>
      <x:c r="B220" s="12" t="str">
        <x:v>S14</x:v>
      </x:c>
      <x:c r="C220" s="12" t="str">
        <x:v>ST-1402</x:v>
      </x:c>
      <x:c r="D220" s="12" t="str">
        <x:v>GAMEPLAY_AGENT</x:v>
      </x:c>
      <x:c r="E220" s="12" t="str">
        <x:v>Ghép asset final và khóa phiên bản H02</x:v>
      </x:c>
      <x:c r="F220" s="12" t="str">
        <x:v>NOT_STARTED</x:v>
      </x:c>
      <x:c r="G220" s="12" t="str">
        <x:v>T-130301, T-130302, T-130303, T-130304, T-140101, T-140102, T-140103, T-140104, T-140203</x:v>
      </x:c>
      <x:c r="H220" s="12" t="str">
        <x:v>reports/S14/ch02_art_signoff.md</x:v>
      </x:c>
      <x:c r="I220" s="12" t="str">
        <x:v>ARTIFACT_REVIEW, ENGINE_TEST</x:v>
      </x:c>
      <x:c r="J220" s="12" t="str">
        <x:v>M</x:v>
      </x:c>
      <x:c r="K220" s="12" t="str">
        <x:v>reports/tasks/T-140204/evidence.json</x:v>
      </x:c>
      <x:c r="L220" s="12" t="str">
        <x:v>tasks/T-140204.md</x:v>
      </x:c>
      <x:c r="M220" s="12" t="str">
        <x:v>none</x:v>
      </x:c>
    </x:row>
    <x:row r="221" ht="58" customHeight="1">
      <x:c r="A221" s="12" t="str">
        <x:v>T-140301</x:v>
      </x:c>
      <x:c r="B221" s="12" t="str">
        <x:v>S14</x:v>
      </x:c>
      <x:c r="C221" s="12" t="str">
        <x:v>ST-1403</x:v>
      </x:c>
      <x:c r="D221" s="12" t="str">
        <x:v>AUDIO_AGENT</x:v>
      </x:c>
      <x:c r="E221" s="12" t="str">
        <x:v>Tạo ambience và cue đặc trưng H02</x:v>
      </x:c>
      <x:c r="F221" s="12" t="str">
        <x:v>NOT_STARTED</x:v>
      </x:c>
      <x:c r="G221" s="12" t="str">
        <x:v>T-140101, T-140102, T-140103, T-140104</x:v>
      </x:c>
      <x:c r="H221" s="12" t="str">
        <x:v>audio/ambience/ch02/; audio/cue_sheets/ch02.csv</x:v>
      </x:c>
      <x:c r="I221" s="12" t="str">
        <x:v>ARTIFACT_REVIEW, AUDIO_REVIEW</x:v>
      </x:c>
      <x:c r="J221" s="12" t="str">
        <x:v>L</x:v>
      </x:c>
      <x:c r="K221" s="12" t="str">
        <x:v>reports/tasks/T-140301/evidence.json</x:v>
      </x:c>
      <x:c r="L221" s="12" t="str">
        <x:v>tasks/T-140301.md</x:v>
      </x:c>
      <x:c r="M221" s="12" t="str">
        <x:v>none</x:v>
      </x:c>
    </x:row>
    <x:row r="222" ht="58" customHeight="1">
      <x:c r="A222" s="12" t="str">
        <x:v>T-140302</x:v>
      </x:c>
      <x:c r="B222" s="12" t="str">
        <x:v>S14</x:v>
      </x:c>
      <x:c r="C222" s="12" t="str">
        <x:v>ST-1403</x:v>
      </x:c>
      <x:c r="D222" s="12" t="str">
        <x:v>AUDIO_AGENT</x:v>
      </x:c>
      <x:c r="E222" s="12" t="str">
        <x:v>Tạo/chỉnh music stem và interaction SFX H02</x:v>
      </x:c>
      <x:c r="F222" s="12" t="str">
        <x:v>NOT_STARTED</x:v>
      </x:c>
      <x:c r="G222" s="12" t="str">
        <x:v>T-140101, T-140102, T-140103, T-140104, T-140301</x:v>
      </x:c>
      <x:c r="H222" s="12" t="str">
        <x:v>audio/music/ch02/; audio/sfx/ch02/</x:v>
      </x:c>
      <x:c r="I222" s="12" t="str">
        <x:v>ARTIFACT_REVIEW, AUDIO_REVIEW</x:v>
      </x:c>
      <x:c r="J222" s="12" t="str">
        <x:v>L</x:v>
      </x:c>
      <x:c r="K222" s="12" t="str">
        <x:v>reports/tasks/T-140302/evidence.json</x:v>
      </x:c>
      <x:c r="L222" s="12" t="str">
        <x:v>tasks/T-140302.md</x:v>
      </x:c>
      <x:c r="M222" s="12" t="str">
        <x:v>none</x:v>
      </x:c>
    </x:row>
    <x:row r="223" ht="58" customHeight="1">
      <x:c r="A223" s="12" t="str">
        <x:v>T-140303</x:v>
      </x:c>
      <x:c r="B223" s="12" t="str">
        <x:v>S14</x:v>
      </x:c>
      <x:c r="C223" s="12" t="str">
        <x:v>ST-1403</x:v>
      </x:c>
      <x:c r="D223" s="12" t="str">
        <x:v>GAMEPLAY_AGENT</x:v>
      </x:c>
      <x:c r="E223" s="12" t="str">
        <x:v>Ghép audio transitions và captions H02</x:v>
      </x:c>
      <x:c r="F223" s="12" t="str">
        <x:v>NOT_STARTED</x:v>
      </x:c>
      <x:c r="G223" s="12" t="str">
        <x:v>T-140101, T-140102, T-140103, T-140104, T-140302</x:v>
      </x:c>
      <x:c r="H223" s="12" t="str">
        <x:v>scenes/levels/ch02/; localization/captions.csv</x:v>
      </x:c>
      <x:c r="I223" s="12" t="str">
        <x:v>ARTIFACT_REVIEW, ENGINE_TEST</x:v>
      </x:c>
      <x:c r="J223" s="12" t="str">
        <x:v>L</x:v>
      </x:c>
      <x:c r="K223" s="12" t="str">
        <x:v>reports/tasks/T-140303/evidence.json</x:v>
      </x:c>
      <x:c r="L223" s="12" t="str">
        <x:v>tasks/T-140303.md</x:v>
      </x:c>
      <x:c r="M223" s="12" t="str">
        <x:v>none</x:v>
      </x:c>
    </x:row>
    <x:row r="224" ht="58" customHeight="1">
      <x:c r="A224" s="12" t="str">
        <x:v>T-140304</x:v>
      </x:c>
      <x:c r="B224" s="12" t="str">
        <x:v>S14</x:v>
      </x:c>
      <x:c r="C224" s="12" t="str">
        <x:v>ST-1403</x:v>
      </x:c>
      <x:c r="D224" s="12" t="str">
        <x:v>QA_AGENT</x:v>
      </x:c>
      <x:c r="E224" s="12" t="str">
        <x:v>Test mute/mix/pause trong H02</x:v>
      </x:c>
      <x:c r="F224" s="12" t="str">
        <x:v>NOT_STARTED</x:v>
      </x:c>
      <x:c r="G224" s="12" t="str">
        <x:v>T-140101, T-140102, T-140103, T-140104, T-140303</x:v>
      </x:c>
      <x:c r="H224" s="12" t="str">
        <x:v>reports/S14/ch02_audio.md</x:v>
      </x:c>
      <x:c r="I224" s="12" t="str">
        <x:v>ARTIFACT_REVIEW, ENGINE_TEST, RENDERED_RUNTIME</x:v>
      </x:c>
      <x:c r="J224" s="12" t="str">
        <x:v>S</x:v>
      </x:c>
      <x:c r="K224" s="12" t="str">
        <x:v>reports/tasks/T-140304/evidence.json</x:v>
      </x:c>
      <x:c r="L224" s="12" t="str">
        <x:v>tasks/T-140304.md</x:v>
      </x:c>
      <x:c r="M224" s="12" t="str">
        <x:v>none</x:v>
      </x:c>
    </x:row>
    <x:row r="225" ht="58" customHeight="1">
      <x:c r="A225" s="12" t="str">
        <x:v>T-140401</x:v>
      </x:c>
      <x:c r="B225" s="12" t="str">
        <x:v>S14</x:v>
      </x:c>
      <x:c r="C225" s="12" t="str">
        <x:v>ST-1404</x:v>
      </x:c>
      <x:c r="D225" s="12" t="str">
        <x:v>QA_AGENT</x:v>
      </x:c>
      <x:c r="E225" s="12" t="str">
        <x:v>Chạy puzzle/save/phase matrix H02</x:v>
      </x:c>
      <x:c r="F225" s="12" t="str">
        <x:v>NOT_STARTED</x:v>
      </x:c>
      <x:c r="G225" s="12" t="str">
        <x:v>T-140101, T-140102, T-140103, T-140104, T-140201, T-140202, T-140203, T-140204, T-140301, T-140302, T-140303, T-140304</x:v>
      </x:c>
      <x:c r="H225" s="12" t="str">
        <x:v>reports/S14/ch02_regression.csv</x:v>
      </x:c>
      <x:c r="I225" s="12" t="str">
        <x:v>ARTIFACT_REVIEW, ENGINE_TEST, RENDERED_RUNTIME</x:v>
      </x:c>
      <x:c r="J225" s="12" t="str">
        <x:v>L</x:v>
      </x:c>
      <x:c r="K225" s="12" t="str">
        <x:v>reports/tasks/T-140401/evidence.json</x:v>
      </x:c>
      <x:c r="L225" s="12" t="str">
        <x:v>tasks/T-140401.md</x:v>
      </x:c>
      <x:c r="M225" s="12" t="str">
        <x:v>none</x:v>
      </x:c>
    </x:row>
    <x:row r="226" ht="58" customHeight="1">
      <x:c r="A226" s="12" t="str">
        <x:v>T-140402</x:v>
      </x:c>
      <x:c r="B226" s="12" t="str">
        <x:v>S14</x:v>
      </x:c>
      <x:c r="C226" s="12" t="str">
        <x:v>ST-1404</x:v>
      </x:c>
      <x:c r="D226" s="12" t="str">
        <x:v>QA_AGENT</x:v>
      </x:c>
      <x:c r="E226" s="12" t="str">
        <x:v>Test ngoài nhóm và quan sát đường chơi H02</x:v>
      </x:c>
      <x:c r="F226" s="12" t="str">
        <x:v>NOT_STARTED</x:v>
      </x:c>
      <x:c r="G226" s="12" t="str">
        <x:v>T-140101, T-140102, T-140103, T-140104, T-140201, T-140202, T-140203, T-140204, T-140301, T-140302, T-140303, T-140304, T-140401</x:v>
      </x:c>
      <x:c r="H226" s="12" t="str">
        <x:v>reports/S14/ch02_playtest.md</x:v>
      </x:c>
      <x:c r="I226" s="12" t="str">
        <x:v>ARTIFACT_REVIEW, ENGINE_TEST, RENDERED_RUNTIME</x:v>
      </x:c>
      <x:c r="J226" s="12" t="str">
        <x:v>L</x:v>
      </x:c>
      <x:c r="K226" s="12" t="str">
        <x:v>reports/tasks/T-140402/evidence.json</x:v>
      </x:c>
      <x:c r="L226" s="12" t="str">
        <x:v>tasks/T-140402.md</x:v>
      </x:c>
      <x:c r="M226" s="12" t="str">
        <x:v>none</x:v>
      </x:c>
    </x:row>
    <x:row r="227" ht="58" customHeight="1">
      <x:c r="A227" s="12" t="str">
        <x:v>T-140403</x:v>
      </x:c>
      <x:c r="B227" s="12" t="str">
        <x:v>S14</x:v>
      </x:c>
      <x:c r="C227" s="12" t="str">
        <x:v>ST-1404</x:v>
      </x:c>
      <x:c r="D227" s="12" t="str">
        <x:v>QA_AGENT</x:v>
      </x:c>
      <x:c r="E227" s="12" t="str">
        <x:v>Sửa blocker/hint/camera trọng tâm H02</x:v>
      </x:c>
      <x:c r="F227" s="12" t="str">
        <x:v>NOT_STARTED</x:v>
      </x:c>
      <x:c r="G227" s="12" t="str">
        <x:v>T-140101, T-140102, T-140103, T-140104, T-140201, T-140202, T-140203, T-140204, T-140301, T-140302, T-140303, T-140304, T-140402</x:v>
      </x:c>
      <x:c r="H227" s="12" t="str">
        <x:v>reports/S14/ch02_retest.md</x:v>
      </x:c>
      <x:c r="I227" s="12" t="str">
        <x:v>ARTIFACT_REVIEW, ENGINE_TEST, RENDERED_RUNTIME</x:v>
      </x:c>
      <x:c r="J227" s="12" t="str">
        <x:v>L</x:v>
      </x:c>
      <x:c r="K227" s="12" t="str">
        <x:v>reports/tasks/T-140403/evidence.json</x:v>
      </x:c>
      <x:c r="L227" s="12" t="str">
        <x:v>tasks/T-140403.md</x:v>
      </x:c>
      <x:c r="M227" s="12" t="str">
        <x:v>none</x:v>
      </x:c>
    </x:row>
    <x:row r="228" ht="58" customHeight="1">
      <x:c r="A228" s="12" t="str">
        <x:v>T-140404</x:v>
      </x:c>
      <x:c r="B228" s="12" t="str">
        <x:v>S14</x:v>
      </x:c>
      <x:c r="C228" s="12" t="str">
        <x:v>ST-1404</x:v>
      </x:c>
      <x:c r="D228" s="12" t="str">
        <x:v>QA_AGENT</x:v>
      </x:c>
      <x:c r="E228" s="12" t="str">
        <x:v>Test lại từ hub xuyên hai chapter gần nhất</x:v>
      </x:c>
      <x:c r="F228" s="12" t="str">
        <x:v>NOT_STARTED</x:v>
      </x:c>
      <x:c r="G228" s="12" t="str">
        <x:v>T-140101, T-140102, T-140103, T-140104, T-140201, T-140202, T-140203, T-140204, T-140301, T-140302, T-140303, T-140304, T-140403</x:v>
      </x:c>
      <x:c r="H228" s="12" t="str">
        <x:v>reports/S14/cross_chapter.md</x:v>
      </x:c>
      <x:c r="I228" s="12" t="str">
        <x:v>ARTIFACT_REVIEW, ENGINE_TEST, RENDERED_RUNTIME</x:v>
      </x:c>
      <x:c r="J228" s="12" t="str">
        <x:v>L</x:v>
      </x:c>
      <x:c r="K228" s="12" t="str">
        <x:v>reports/tasks/T-140404/evidence.json</x:v>
      </x:c>
      <x:c r="L228" s="12" t="str">
        <x:v>tasks/T-140404.md</x:v>
      </x:c>
      <x:c r="M228" s="12" t="str">
        <x:v>none</x:v>
      </x:c>
    </x:row>
    <x:row r="229" ht="58" customHeight="1">
      <x:c r="A229" s="12" t="str">
        <x:v>T-140405</x:v>
      </x:c>
      <x:c r="B229" s="12" t="str">
        <x:v>S14</x:v>
      </x:c>
      <x:c r="C229" s="12" t="str">
        <x:v>ST-1404</x:v>
      </x:c>
      <x:c r="D229" s="12" t="str">
        <x:v>GAMEPLAY_AGENT</x:v>
      </x:c>
      <x:c r="E229" s="12" t="str">
        <x:v>Duyệt chapter DoD và đánh giá lại đường găng</x:v>
      </x:c>
      <x:c r="F229" s="12" t="str">
        <x:v>NOT_STARTED</x:v>
      </x:c>
      <x:c r="G229" s="12" t="str">
        <x:v>T-140101, T-140102, T-140103, T-140104, T-140201, T-140202, T-140203, T-140204, T-140301, T-140302, T-140303, T-140304, T-140404</x:v>
      </x:c>
      <x:c r="H229" s="12" t="str">
        <x:v>reports/S14/ch02_signoff.md</x:v>
      </x:c>
      <x:c r="I229" s="12" t="str">
        <x:v>ARTIFACT_REVIEW, ENGINE_TEST</x:v>
      </x:c>
      <x:c r="J229" s="12" t="str">
        <x:v>S</x:v>
      </x:c>
      <x:c r="K229" s="12" t="str">
        <x:v>reports/tasks/T-140405/evidence.json</x:v>
      </x:c>
      <x:c r="L229" s="12" t="str">
        <x:v>tasks/T-140405.md</x:v>
      </x:c>
      <x:c r="M229" s="12" t="str">
        <x:v>none</x:v>
      </x:c>
    </x:row>
    <x:row r="230" ht="58" customHeight="1">
      <x:c r="A230" s="12" t="str">
        <x:v>T-140501</x:v>
      </x:c>
      <x:c r="B230" s="12" t="str">
        <x:v>S14</x:v>
      </x:c>
      <x:c r="C230" s="12" t="str">
        <x:v>ST-1405</x:v>
      </x:c>
      <x:c r="D230" s="12" t="str">
        <x:v>RELEASE_AGENT</x:v>
      </x:c>
      <x:c r="E230" s="12" t="str">
        <x:v>Viết hook, feature list và short description</x:v>
      </x:c>
      <x:c r="F230" s="12" t="str">
        <x:v>NOT_STARTED</x:v>
      </x:c>
      <x:c r="G230" s="12" t="str">
        <x:v>T-100401, T-100402, T-100403, T-100404, T-110401, T-110402, T-110403, T-110404</x:v>
      </x:c>
      <x:c r="H230" s="12" t="str">
        <x:v>marketing/store_copy_v1.md</x:v>
      </x:c>
      <x:c r="I230" s="12" t="str">
        <x:v>ARTIFACT_REVIEW</x:v>
      </x:c>
      <x:c r="J230" s="12" t="str">
        <x:v>S</x:v>
      </x:c>
      <x:c r="K230" s="12" t="str">
        <x:v>reports/tasks/T-140501/evidence.json</x:v>
      </x:c>
      <x:c r="L230" s="12" t="str">
        <x:v>tasks/T-140501.md</x:v>
      </x:c>
      <x:c r="M230" s="12" t="str">
        <x:v>none</x:v>
      </x:c>
    </x:row>
    <x:row r="231" ht="58" customHeight="1">
      <x:c r="A231" s="12" t="str">
        <x:v>T-140502</x:v>
      </x:c>
      <x:c r="B231" s="12" t="str">
        <x:v>S14</x:v>
      </x:c>
      <x:c r="C231" s="12" t="str">
        <x:v>ST-1405</x:v>
      </x:c>
      <x:c r="D231" s="12" t="str">
        <x:v>ART_AGENT</x:v>
      </x:c>
      <x:c r="E231" s="12" t="str">
        <x:v>Làm capsule/key art từ style đã duyệt</x:v>
      </x:c>
      <x:c r="F231" s="12" t="str">
        <x:v>NOT_STARTED</x:v>
      </x:c>
      <x:c r="G231" s="12" t="str">
        <x:v>T-100401, T-100402, T-100403, T-100404, T-110401, T-110402, T-110403, T-110404, T-140501</x:v>
      </x:c>
      <x:c r="H231" s="12" t="str">
        <x:v>marketing/store_assets_v1/</x:v>
      </x:c>
      <x:c r="I231" s="12" t="str">
        <x:v>ARTIFACT_REVIEW, RENDERED_RUNTIME</x:v>
      </x:c>
      <x:c r="J231" s="12" t="str">
        <x:v>M</x:v>
      </x:c>
      <x:c r="K231" s="12" t="str">
        <x:v>reports/tasks/T-140502/evidence.json</x:v>
      </x:c>
      <x:c r="L231" s="12" t="str">
        <x:v>tasks/T-140502.md</x:v>
      </x:c>
      <x:c r="M231" s="12" t="str">
        <x:v>none</x:v>
      </x:c>
    </x:row>
    <x:row r="232" ht="58" customHeight="1">
      <x:c r="A232" s="12" t="str">
        <x:v>T-140503</x:v>
      </x:c>
      <x:c r="B232" s="12" t="str">
        <x:v>S14</x:v>
      </x:c>
      <x:c r="C232" s="12" t="str">
        <x:v>ST-1405</x:v>
      </x:c>
      <x:c r="D232" s="12" t="str">
        <x:v>RELEASE_AGENT</x:v>
      </x:c>
      <x:c r="E232" s="12" t="str">
        <x:v>Chụp screenshots và lập store asset checklist</x:v>
      </x:c>
      <x:c r="F232" s="12" t="str">
        <x:v>NOT_STARTED</x:v>
      </x:c>
      <x:c r="G232" s="12" t="str">
        <x:v>T-100401, T-100402, T-100403, T-100404, T-110401, T-110402, T-110403, T-110404, T-140502</x:v>
      </x:c>
      <x:c r="H232" s="12" t="str">
        <x:v>marketing/screenshots_v1/</x:v>
      </x:c>
      <x:c r="I232" s="12" t="str">
        <x:v>ARTIFACT_REVIEW</x:v>
      </x:c>
      <x:c r="J232" s="12" t="str">
        <x:v>S</x:v>
      </x:c>
      <x:c r="K232" s="12" t="str">
        <x:v>reports/tasks/T-140503/evidence.json</x:v>
      </x:c>
      <x:c r="L232" s="12" t="str">
        <x:v>tasks/T-140503.md</x:v>
      </x:c>
      <x:c r="M232" s="12" t="str">
        <x:v>none</x:v>
      </x:c>
    </x:row>
    <x:row r="233" ht="58" customHeight="1">
      <x:c r="A233" s="12" t="str">
        <x:v>T-140504</x:v>
      </x:c>
      <x:c r="B233" s="12" t="str">
        <x:v>S14</x:v>
      </x:c>
      <x:c r="C233" s="12" t="str">
        <x:v>ST-1405</x:v>
      </x:c>
      <x:c r="D233" s="12" t="str">
        <x:v>RELEASE_AGENT</x:v>
      </x:c>
      <x:c r="E233" s="12" t="str">
        <x:v>Chuẩn bị gói nộp store và review bản tiếng Anh ngắn</x:v>
      </x:c>
      <x:c r="F233" s="12" t="str">
        <x:v>NOT_STARTED</x:v>
      </x:c>
      <x:c r="G233" s="12" t="str">
        <x:v>T-100401, T-100402, T-100403, T-100404, T-110401, T-110402, T-110403, T-110404, T-140503</x:v>
      </x:c>
      <x:c r="H233" s="12" t="str">
        <x:v>docs/release/store_submission_v1.md</x:v>
      </x:c>
      <x:c r="I233" s="12" t="str">
        <x:v>ARTIFACT_REVIEW</x:v>
      </x:c>
      <x:c r="J233" s="12" t="str">
        <x:v>S</x:v>
      </x:c>
      <x:c r="K233" s="12" t="str">
        <x:v>reports/tasks/T-140504/evidence.json</x:v>
      </x:c>
      <x:c r="L233" s="12" t="str">
        <x:v>tasks/T-140504.md</x:v>
      </x:c>
      <x:c r="M233" s="12" t="str">
        <x:v>none</x:v>
      </x:c>
    </x:row>
    <x:row r="234" ht="58" customHeight="1">
      <x:c r="A234" s="12" t="str">
        <x:v>T-140505</x:v>
      </x:c>
      <x:c r="B234" s="12" t="str">
        <x:v>S14</x:v>
      </x:c>
      <x:c r="C234" s="12" t="str">
        <x:v>ST-1405</x:v>
      </x:c>
      <x:c r="D234" s="12" t="str">
        <x:v>RELEASE_AGENT</x:v>
      </x:c>
      <x:c r="E234" s="12" t="str">
        <x:v>Owner kiểm tra và duyệt publish Coming Soon</x:v>
      </x:c>
      <x:c r="F234" s="12" t="str">
        <x:v>NOT_STARTED</x:v>
      </x:c>
      <x:c r="G234" s="12" t="str">
        <x:v>T-100401, T-100402, T-100403, T-100404, T-110401, T-110402, T-110403, T-110404, T-140504</x:v>
      </x:c>
      <x:c r="H234" s="12" t="str">
        <x:v>reports/S14/store_status.md</x:v>
      </x:c>
      <x:c r="I234" s="12" t="str">
        <x:v>ARTIFACT_REVIEW</x:v>
      </x:c>
      <x:c r="J234" s="12" t="str">
        <x:v>S</x:v>
      </x:c>
      <x:c r="K234" s="12" t="str">
        <x:v>reports/tasks/T-140505/evidence.json</x:v>
      </x:c>
      <x:c r="L234" s="12" t="str">
        <x:v>tasks/T-140505.md</x:v>
      </x:c>
      <x:c r="M234" s="12" t="str">
        <x:v>none</x:v>
      </x:c>
    </x:row>
    <x:row r="235" ht="58" customHeight="1">
      <x:c r="A235" s="12" t="str">
        <x:v>T-150101</x:v>
      </x:c>
      <x:c r="B235" s="12" t="str">
        <x:v>S15</x:v>
      </x:c>
      <x:c r="C235" s="12" t="str">
        <x:v>ST-1501</x:v>
      </x:c>
      <x:c r="D235" s="12" t="str">
        <x:v>GAMEPLAY_AGENT</x:v>
      </x:c>
      <x:c r="E235" s="12" t="str">
        <x:v>Viết beat sheet, route graph và reveal cho H03</x:v>
      </x:c>
      <x:c r="F235" s="12" t="str">
        <x:v>NOT_STARTED</x:v>
      </x:c>
      <x:c r="G235" s="12" t="str">
        <x:v>T-140401, T-140402, T-140403, T-140404, T-140405</x:v>
      </x:c>
      <x:c r="H235" s="12" t="str">
        <x:v>docs/chapters/ch03.md</x:v>
      </x:c>
      <x:c r="I235" s="12" t="str">
        <x:v>ARTIFACT_REVIEW, ENGINE_TEST</x:v>
      </x:c>
      <x:c r="J235" s="12" t="str">
        <x:v>M</x:v>
      </x:c>
      <x:c r="K235" s="12" t="str">
        <x:v>reports/tasks/T-150101/evidence.json</x:v>
      </x:c>
      <x:c r="L235" s="12" t="str">
        <x:v>tasks/T-150101.md</x:v>
      </x:c>
      <x:c r="M235" s="12" t="str">
        <x:v>none</x:v>
      </x:c>
    </x:row>
    <x:row r="236" ht="58" customHeight="1">
      <x:c r="A236" s="12" t="str">
        <x:v>T-150102</x:v>
      </x:c>
      <x:c r="B236" s="12" t="str">
        <x:v>S15</x:v>
      </x:c>
      <x:c r="C236" s="12" t="str">
        <x:v>ST-1501</x:v>
      </x:c>
      <x:c r="D236" s="12" t="str">
        <x:v>GAMEPLAY_AGENT</x:v>
      </x:c>
      <x:c r="E236" s="12" t="str">
        <x:v>Blockout H03 / bến sông / cầu gỗ</x:v>
      </x:c>
      <x:c r="F236" s="12" t="str">
        <x:v>NOT_STARTED</x:v>
      </x:c>
      <x:c r="G236" s="12" t="str">
        <x:v>T-140401, T-140402, T-140403, T-140404, T-140405, T-150101</x:v>
      </x:c>
      <x:c r="H236" s="12" t="str">
        <x:v>scenes/levels/ch03/ch03_level.tscn</x:v>
      </x:c>
      <x:c r="I236" s="12" t="str">
        <x:v>ARTIFACT_REVIEW, ENGINE_TEST</x:v>
      </x:c>
      <x:c r="J236" s="12" t="str">
        <x:v>L</x:v>
      </x:c>
      <x:c r="K236" s="12" t="str">
        <x:v>reports/tasks/T-150102/evidence.json</x:v>
      </x:c>
      <x:c r="L236" s="12" t="str">
        <x:v>tasks/T-150102.md</x:v>
      </x:c>
      <x:c r="M236" s="12" t="str">
        <x:v>none</x:v>
      </x:c>
    </x:row>
    <x:row r="237" ht="58" customHeight="1">
      <x:c r="A237" s="12" t="str">
        <x:v>T-150103</x:v>
      </x:c>
      <x:c r="B237" s="12" t="str">
        <x:v>S15</x:v>
      </x:c>
      <x:c r="C237" s="12" t="str">
        <x:v>ST-1501</x:v>
      </x:c>
      <x:c r="D237" s="12" t="str">
        <x:v>GAMEPLAY_AGENT</x:v>
      </x:c>
      <x:c r="E237" s="12" t="str">
        <x:v>Gắn ChapterManifest, house erasure và hub exits H03</x:v>
      </x:c>
      <x:c r="F237" s="12" t="str">
        <x:v>NOT_STARTED</x:v>
      </x:c>
      <x:c r="G237" s="12" t="str">
        <x:v>T-140401, T-140402, T-140403, T-140404, T-140405, T-150102</x:v>
      </x:c>
      <x:c r="H237" s="12" t="str">
        <x:v>data/chapters/ch03.tres</x:v>
      </x:c>
      <x:c r="I237" s="12" t="str">
        <x:v>ARTIFACT_REVIEW, ENGINE_TEST</x:v>
      </x:c>
      <x:c r="J237" s="12" t="str">
        <x:v>M</x:v>
      </x:c>
      <x:c r="K237" s="12" t="str">
        <x:v>reports/tasks/T-150103/evidence.json</x:v>
      </x:c>
      <x:c r="L237" s="12" t="str">
        <x:v>tasks/T-150103.md</x:v>
      </x:c>
      <x:c r="M237" s="12" t="str">
        <x:v>none</x:v>
      </x:c>
    </x:row>
    <x:row r="238" ht="58" customHeight="1">
      <x:c r="A238" s="12" t="str">
        <x:v>T-150104</x:v>
      </x:c>
      <x:c r="B238" s="12" t="str">
        <x:v>S15</x:v>
      </x:c>
      <x:c r="C238" s="12" t="str">
        <x:v>ST-1501</x:v>
      </x:c>
      <x:c r="D238" s="12" t="str">
        <x:v>QA_AGENT</x:v>
      </x:c>
      <x:c r="E238" s="12" t="str">
        <x:v>Test load checkpoint và đi lại trong H03</x:v>
      </x:c>
      <x:c r="F238" s="12" t="str">
        <x:v>NOT_STARTED</x:v>
      </x:c>
      <x:c r="G238" s="12" t="str">
        <x:v>T-140401, T-140402, T-140403, T-140404, T-140405, T-150103</x:v>
      </x:c>
      <x:c r="H238" s="12" t="str">
        <x:v>reports/S15/ch03_traversal.md</x:v>
      </x:c>
      <x:c r="I238" s="12" t="str">
        <x:v>ARTIFACT_REVIEW, ENGINE_TEST, RENDERED_RUNTIME</x:v>
      </x:c>
      <x:c r="J238" s="12" t="str">
        <x:v>S</x:v>
      </x:c>
      <x:c r="K238" s="12" t="str">
        <x:v>reports/tasks/T-150104/evidence.json</x:v>
      </x:c>
      <x:c r="L238" s="12" t="str">
        <x:v>tasks/T-150104.md</x:v>
      </x:c>
      <x:c r="M238" s="12" t="str">
        <x:v>none</x:v>
      </x:c>
    </x:row>
    <x:row r="239" ht="58" customHeight="1">
      <x:c r="A239" s="12" t="str">
        <x:v>T-150201</x:v>
      </x:c>
      <x:c r="B239" s="12" t="str">
        <x:v>S15</x:v>
      </x:c>
      <x:c r="C239" s="12" t="str">
        <x:v>ST-1502</x:v>
      </x:c>
      <x:c r="D239" s="12" t="str">
        <x:v>GAMEPLAY_AGENT</x:v>
      </x:c>
      <x:c r="E239" s="12" t="str">
        <x:v>Đặc tả state graph và hint của P10</x:v>
      </x:c>
      <x:c r="F239" s="12" t="str">
        <x:v>NOT_STARTED</x:v>
      </x:c>
      <x:c r="G239" s="12" t="str">
        <x:v>T-150101, T-150102, T-150103, T-150104</x:v>
      </x:c>
      <x:c r="H239" s="12" t="str">
        <x:v>docs/puzzles/P10.md</x:v>
      </x:c>
      <x:c r="I239" s="12" t="str">
        <x:v>ARTIFACT_REVIEW, ENGINE_TEST</x:v>
      </x:c>
      <x:c r="J239" s="12" t="str">
        <x:v>M</x:v>
      </x:c>
      <x:c r="K239" s="12" t="str">
        <x:v>reports/tasks/T-150201/evidence.json</x:v>
      </x:c>
      <x:c r="L239" s="12" t="str">
        <x:v>tasks/T-150201.md</x:v>
      </x:c>
      <x:c r="M239" s="12" t="str">
        <x:v>none</x:v>
      </x:c>
    </x:row>
    <x:row r="240" ht="58" customHeight="1">
      <x:c r="A240" s="12" t="str">
        <x:v>T-150202</x:v>
      </x:c>
      <x:c r="B240" s="12" t="str">
        <x:v>S15</x:v>
      </x:c>
      <x:c r="C240" s="12" t="str">
        <x:v>ST-1502</x:v>
      </x:c>
      <x:c r="D240" s="12" t="str">
        <x:v>GAMEPLAY_AGENT</x:v>
      </x:c>
      <x:c r="E240" s="12" t="str">
        <x:v>Implement tương tác và điều kiện P10</x:v>
      </x:c>
      <x:c r="F240" s="12" t="str">
        <x:v>NOT_STARTED</x:v>
      </x:c>
      <x:c r="G240" s="12" t="str">
        <x:v>T-150101, T-150102, T-150103, T-150104, T-150201</x:v>
      </x:c>
      <x:c r="H240" s="12" t="str">
        <x:v>data/puzzles/P10.tres; scenes/puzzles/P10.tscn</x:v>
      </x:c>
      <x:c r="I240" s="12" t="str">
        <x:v>ARTIFACT_REVIEW, ENGINE_TEST</x:v>
      </x:c>
      <x:c r="J240" s="12" t="str">
        <x:v>L</x:v>
      </x:c>
      <x:c r="K240" s="12" t="str">
        <x:v>reports/tasks/T-150202/evidence.json</x:v>
      </x:c>
      <x:c r="L240" s="12" t="str">
        <x:v>tasks/T-150202.md</x:v>
      </x:c>
      <x:c r="M240" s="12" t="str">
        <x:v>none</x:v>
      </x:c>
    </x:row>
    <x:row r="241" ht="58" customHeight="1">
      <x:c r="A241" s="12" t="str">
        <x:v>T-150203</x:v>
      </x:c>
      <x:c r="B241" s="12" t="str">
        <x:v>S15</x:v>
      </x:c>
      <x:c r="C241" s="12" t="str">
        <x:v>ST-1502</x:v>
      </x:c>
      <x:c r="D241" s="12" t="str">
        <x:v>GAMEPLAY_AGENT</x:v>
      </x:c>
      <x:c r="E241" s="12" t="str">
        <x:v>Ghép clue/reward và feedback của P10</x:v>
      </x:c>
      <x:c r="F241" s="12" t="str">
        <x:v>NOT_STARTED</x:v>
      </x:c>
      <x:c r="G241" s="12" t="str">
        <x:v>T-150101, T-150102, T-150103, T-150104, T-150202</x:v>
      </x:c>
      <x:c r="H241" s="12" t="str">
        <x:v>data/evidence/H03/; data/hints/ch03.tres</x:v>
      </x:c>
      <x:c r="I241" s="12" t="str">
        <x:v>ARTIFACT_REVIEW, ENGINE_TEST</x:v>
      </x:c>
      <x:c r="J241" s="12" t="str">
        <x:v>M</x:v>
      </x:c>
      <x:c r="K241" s="12" t="str">
        <x:v>reports/tasks/T-150203/evidence.json</x:v>
      </x:c>
      <x:c r="L241" s="12" t="str">
        <x:v>tasks/T-150203.md</x:v>
      </x:c>
      <x:c r="M241" s="12" t="str">
        <x:v>none</x:v>
      </x:c>
    </x:row>
    <x:row r="242" ht="58" customHeight="1">
      <x:c r="A242" s="12" t="str">
        <x:v>T-150204</x:v>
      </x:c>
      <x:c r="B242" s="12" t="str">
        <x:v>S15</x:v>
      </x:c>
      <x:c r="C242" s="12" t="str">
        <x:v>ST-1502</x:v>
      </x:c>
      <x:c r="D242" s="12" t="str">
        <x:v>QA_AGENT</x:v>
      </x:c>
      <x:c r="E242" s="12" t="str">
        <x:v>Test lời giải sai/đúng/reload P10</x:v>
      </x:c>
      <x:c r="F242" s="12" t="str">
        <x:v>NOT_STARTED</x:v>
      </x:c>
      <x:c r="G242" s="12" t="str">
        <x:v>T-150101, T-150102, T-150103, T-150104, T-150203</x:v>
      </x:c>
      <x:c r="H242" s="12" t="str">
        <x:v>reports/S15/P10_tests.md</x:v>
      </x:c>
      <x:c r="I242" s="12" t="str">
        <x:v>ARTIFACT_REVIEW, ENGINE_TEST, RENDERED_RUNTIME</x:v>
      </x:c>
      <x:c r="J242" s="12" t="str">
        <x:v>S</x:v>
      </x:c>
      <x:c r="K242" s="12" t="str">
        <x:v>reports/tasks/T-150204/evidence.json</x:v>
      </x:c>
      <x:c r="L242" s="12" t="str">
        <x:v>tasks/T-150204.md</x:v>
      </x:c>
      <x:c r="M242" s="12" t="str">
        <x:v>none</x:v>
      </x:c>
    </x:row>
    <x:row r="243" ht="58" customHeight="1">
      <x:c r="A243" s="12" t="str">
        <x:v>T-150301</x:v>
      </x:c>
      <x:c r="B243" s="12" t="str">
        <x:v>S15</x:v>
      </x:c>
      <x:c r="C243" s="12" t="str">
        <x:v>ST-1503</x:v>
      </x:c>
      <x:c r="D243" s="12" t="str">
        <x:v>ART_AGENT</x:v>
      </x:c>
      <x:c r="E243" s="12" t="str">
        <x:v>Dựng layout art từ greybox H03</x:v>
      </x:c>
      <x:c r="F243" s="12" t="str">
        <x:v>NOT_STARTED</x:v>
      </x:c>
      <x:c r="G243" s="12" t="str">
        <x:v>T-110301, T-110302, T-110303, T-110304, T-150101, T-150102, T-150103, T-150104</x:v>
      </x:c>
      <x:c r="H243" s="12" t="str">
        <x:v>art/source/ch03_layout.blend</x:v>
      </x:c>
      <x:c r="I243" s="12" t="str">
        <x:v>ARTIFACT_REVIEW, RENDERED_RUNTIME</x:v>
      </x:c>
      <x:c r="J243" s="12" t="str">
        <x:v>L</x:v>
      </x:c>
      <x:c r="K243" s="12" t="str">
        <x:v>reports/tasks/T-150301/evidence.json</x:v>
      </x:c>
      <x:c r="L243" s="12" t="str">
        <x:v>tasks/T-150301.md</x:v>
      </x:c>
      <x:c r="M243" s="12" t="str">
        <x:v>none</x:v>
      </x:c>
    </x:row>
    <x:row r="244" ht="58" customHeight="1">
      <x:c r="A244" s="12" t="str">
        <x:v>T-150302</x:v>
      </x:c>
      <x:c r="B244" s="12" t="str">
        <x:v>S15</x:v>
      </x:c>
      <x:c r="C244" s="12" t="str">
        <x:v>ST-1503</x:v>
      </x:c>
      <x:c r="D244" s="12" t="str">
        <x:v>ART_AGENT</x:v>
      </x:c>
      <x:c r="E244" s="12" t="str">
        <x:v>Dựng nhóm prop puzzle P10/P11</x:v>
      </x:c>
      <x:c r="F244" s="12" t="str">
        <x:v>NOT_STARTED</x:v>
      </x:c>
      <x:c r="G244" s="12" t="str">
        <x:v>T-110301, T-110302, T-110303, T-110304, T-150101, T-150102, T-150103, T-150104, T-150301</x:v>
      </x:c>
      <x:c r="H244" s="12" t="str">
        <x:v>art/export/props/ch03/</x:v>
      </x:c>
      <x:c r="I244" s="12" t="str">
        <x:v>ARTIFACT_REVIEW, RENDERED_RUNTIME</x:v>
      </x:c>
      <x:c r="J244" s="12" t="str">
        <x:v>L</x:v>
      </x:c>
      <x:c r="K244" s="12" t="str">
        <x:v>reports/tasks/T-150302/evidence.json</x:v>
      </x:c>
      <x:c r="L244" s="12" t="str">
        <x:v>tasks/T-150302.md</x:v>
      </x:c>
      <x:c r="M244" s="12" t="str">
        <x:v>none</x:v>
      </x:c>
    </x:row>
    <x:row r="245" ht="58" customHeight="1">
      <x:c r="A245" s="12" t="str">
        <x:v>T-150303</x:v>
      </x:c>
      <x:c r="B245" s="12" t="str">
        <x:v>S15</x:v>
      </x:c>
      <x:c r="C245" s="12" t="str">
        <x:v>ST-1503</x:v>
      </x:c>
      <x:c r="D245" s="12" t="str">
        <x:v>ART_AGENT</x:v>
      </x:c>
      <x:c r="E245" s="12" t="str">
        <x:v>Chuẩn bị variant REAL/ERASED cho H03</x:v>
      </x:c>
      <x:c r="F245" s="12" t="str">
        <x:v>NOT_STARTED</x:v>
      </x:c>
      <x:c r="G245" s="12" t="str">
        <x:v>T-110301, T-110302, T-110303, T-110304, T-150101, T-150102, T-150103, T-150104, T-150302</x:v>
      </x:c>
      <x:c r="H245" s="12" t="str">
        <x:v>art/export/environment/ch03/</x:v>
      </x:c>
      <x:c r="I245" s="12" t="str">
        <x:v>ARTIFACT_REVIEW, RENDERED_RUNTIME</x:v>
      </x:c>
      <x:c r="J245" s="12" t="str">
        <x:v>L</x:v>
      </x:c>
      <x:c r="K245" s="12" t="str">
        <x:v>reports/tasks/T-150303/evidence.json</x:v>
      </x:c>
      <x:c r="L245" s="12" t="str">
        <x:v>tasks/T-150303.md</x:v>
      </x:c>
      <x:c r="M245" s="12" t="str">
        <x:v>none</x:v>
      </x:c>
    </x:row>
    <x:row r="246" ht="58" customHeight="1">
      <x:c r="A246" s="12" t="str">
        <x:v>T-150304</x:v>
      </x:c>
      <x:c r="B246" s="12" t="str">
        <x:v>S15</x:v>
      </x:c>
      <x:c r="C246" s="12" t="str">
        <x:v>ST-1503</x:v>
      </x:c>
      <x:c r="D246" s="12" t="str">
        <x:v>ORCHESTRATOR</x:v>
      </x:c>
      <x:c r="E246" s="12" t="str">
        <x:v>Import art đầu và kiểm tra collision H03</x:v>
      </x:c>
      <x:c r="F246" s="12" t="str">
        <x:v>NOT_STARTED</x:v>
      </x:c>
      <x:c r="G246" s="12" t="str">
        <x:v>T-110301, T-110302, T-110303, T-110304, T-150101, T-150102, T-150103, T-150104, T-150303</x:v>
      </x:c>
      <x:c r="H246" s="12" t="str">
        <x:v>reports/S15/ch03_asset_review.md</x:v>
      </x:c>
      <x:c r="I246" s="12" t="str">
        <x:v>ARTIFACT_REVIEW</x:v>
      </x:c>
      <x:c r="J246" s="12" t="str">
        <x:v>M</x:v>
      </x:c>
      <x:c r="K246" s="12" t="str">
        <x:v>reports/tasks/T-150304/evidence.json</x:v>
      </x:c>
      <x:c r="L246" s="12" t="str">
        <x:v>tasks/T-150304.md</x:v>
      </x:c>
      <x:c r="M246" s="12" t="str">
        <x:v>none</x:v>
      </x:c>
    </x:row>
    <x:row r="247" ht="58" customHeight="1">
      <x:c r="A247" s="12" t="str">
        <x:v>T-150401</x:v>
      </x:c>
      <x:c r="B247" s="12" t="str">
        <x:v>S15</x:v>
      </x:c>
      <x:c r="C247" s="12" t="str">
        <x:v>ST-1504</x:v>
      </x:c>
      <x:c r="D247" s="12" t="str">
        <x:v>GAMEPLAY_AGENT</x:v>
      </x:c>
      <x:c r="E247" s="12" t="str">
        <x:v>Implement state graph và tương tác P11</x:v>
      </x:c>
      <x:c r="F247" s="12" t="str">
        <x:v>NOT_STARTED</x:v>
      </x:c>
      <x:c r="G247" s="12" t="str">
        <x:v>T-150201, T-150202, T-150203, T-150204, T-150301, T-150302, T-150303, T-150304</x:v>
      </x:c>
      <x:c r="H247" s="12" t="str">
        <x:v>docs/puzzles/P11.md; data/puzzles/P11.tres</x:v>
      </x:c>
      <x:c r="I247" s="12" t="str">
        <x:v>ARTIFACT_REVIEW, ENGINE_TEST</x:v>
      </x:c>
      <x:c r="J247" s="12" t="str">
        <x:v>L</x:v>
      </x:c>
      <x:c r="K247" s="12" t="str">
        <x:v>reports/tasks/T-150401/evidence.json</x:v>
      </x:c>
      <x:c r="L247" s="12" t="str">
        <x:v>tasks/T-150401.md</x:v>
      </x:c>
      <x:c r="M247" s="12" t="str">
        <x:v>none</x:v>
      </x:c>
    </x:row>
    <x:row r="248" ht="58" customHeight="1">
      <x:c r="A248" s="12" t="str">
        <x:v>T-150402</x:v>
      </x:c>
      <x:c r="B248" s="12" t="str">
        <x:v>S15</x:v>
      </x:c>
      <x:c r="C248" s="12" t="str">
        <x:v>ST-1504</x:v>
      </x:c>
      <x:c r="D248" s="12" t="str">
        <x:v>GAMEPLAY_AGENT</x:v>
      </x:c>
      <x:c r="E248" s="12" t="str">
        <x:v>Dựng nhánh M03 — Sổ bến đánh dấu điểm tập kết lên đồi</x:v>
      </x:c>
      <x:c r="F248" s="12" t="str">
        <x:v>NOT_STARTED</x:v>
      </x:c>
      <x:c r="G248" s="12" t="str">
        <x:v>T-150201, T-150202, T-150203, T-150204, T-150301, T-150302, T-150303, T-150304, T-150401</x:v>
      </x:c>
      <x:c r="H248" s="12" t="str">
        <x:v>data/evidence/M03.tres; scenes/levels/ch03/</x:v>
      </x:c>
      <x:c r="I248" s="12" t="str">
        <x:v>ARTIFACT_REVIEW, ENGINE_TEST</x:v>
      </x:c>
      <x:c r="J248" s="12" t="str">
        <x:v>L</x:v>
      </x:c>
      <x:c r="K248" s="12" t="str">
        <x:v>reports/tasks/T-150402/evidence.json</x:v>
      </x:c>
      <x:c r="L248" s="12" t="str">
        <x:v>tasks/T-150402.md</x:v>
      </x:c>
      <x:c r="M248" s="12" t="str">
        <x:v>none</x:v>
      </x:c>
    </x:row>
    <x:row r="249" ht="58" customHeight="1">
      <x:c r="A249" s="12" t="str">
        <x:v>T-150403</x:v>
      </x:c>
      <x:c r="B249" s="12" t="str">
        <x:v>S15</x:v>
      </x:c>
      <x:c r="C249" s="12" t="str">
        <x:v>ST-1504</x:v>
      </x:c>
      <x:c r="D249" s="12" t="str">
        <x:v>GAMEPLAY_AGENT</x:v>
      </x:c>
      <x:c r="E249" s="12" t="str">
        <x:v>Ghép completion và handoff CH3→CH4</x:v>
      </x:c>
      <x:c r="F249" s="12" t="str">
        <x:v>NOT_STARTED</x:v>
      </x:c>
      <x:c r="G249" s="12" t="str">
        <x:v>T-150201, T-150202, T-150203, T-150204, T-150301, T-150302, T-150303, T-150304, T-150402</x:v>
      </x:c>
      <x:c r="H249" s="12" t="str">
        <x:v>data/story/ch03_handoff.tres</x:v>
      </x:c>
      <x:c r="I249" s="12" t="str">
        <x:v>ARTIFACT_REVIEW, ENGINE_TEST</x:v>
      </x:c>
      <x:c r="J249" s="12" t="str">
        <x:v>M</x:v>
      </x:c>
      <x:c r="K249" s="12" t="str">
        <x:v>reports/tasks/T-150403/evidence.json</x:v>
      </x:c>
      <x:c r="L249" s="12" t="str">
        <x:v>tasks/T-150403.md</x:v>
      </x:c>
      <x:c r="M249" s="12" t="str">
        <x:v>none</x:v>
      </x:c>
    </x:row>
    <x:row r="250" ht="58" customHeight="1">
      <x:c r="A250" s="12" t="str">
        <x:v>T-150404</x:v>
      </x:c>
      <x:c r="B250" s="12" t="str">
        <x:v>S15</x:v>
      </x:c>
      <x:c r="C250" s="12" t="str">
        <x:v>ST-1504</x:v>
      </x:c>
      <x:c r="D250" s="12" t="str">
        <x:v>QA_AGENT</x:v>
      </x:c>
      <x:c r="E250" s="12" t="str">
        <x:v>Test greybox chapter H03 từ cold start</x:v>
      </x:c>
      <x:c r="F250" s="12" t="str">
        <x:v>NOT_STARTED</x:v>
      </x:c>
      <x:c r="G250" s="12" t="str">
        <x:v>T-150201, T-150202, T-150203, T-150204, T-150301, T-150302, T-150303, T-150304, T-150403</x:v>
      </x:c>
      <x:c r="H250" s="12" t="str">
        <x:v>reports/S15/ch03_greybox.md</x:v>
      </x:c>
      <x:c r="I250" s="12" t="str">
        <x:v>ARTIFACT_REVIEW, ENGINE_TEST, RENDERED_RUNTIME</x:v>
      </x:c>
      <x:c r="J250" s="12" t="str">
        <x:v>S</x:v>
      </x:c>
      <x:c r="K250" s="12" t="str">
        <x:v>reports/tasks/T-150404/evidence.json</x:v>
      </x:c>
      <x:c r="L250" s="12" t="str">
        <x:v>tasks/T-150404.md</x:v>
      </x:c>
      <x:c r="M250" s="12" t="str">
        <x:v>none</x:v>
      </x:c>
    </x:row>
    <x:row r="251" ht="58" customHeight="1">
      <x:c r="A251" s="12" t="str">
        <x:v>T-160101</x:v>
      </x:c>
      <x:c r="B251" s="12" t="str">
        <x:v>S16</x:v>
      </x:c>
      <x:c r="C251" s="12" t="str">
        <x:v>ST-1601</x:v>
      </x:c>
      <x:c r="D251" s="12" t="str">
        <x:v>NARRATIVE_AGENT</x:v>
      </x:c>
      <x:c r="E251" s="12" t="str">
        <x:v>Viết final dialogue, inspect text và captions H03</x:v>
      </x:c>
      <x:c r="F251" s="12" t="str">
        <x:v>NOT_STARTED</x:v>
      </x:c>
      <x:c r="G251" s="12" t="str">
        <x:v>T-150401, T-150402, T-150403, T-150404</x:v>
      </x:c>
      <x:c r="H251" s="12" t="str">
        <x:v>data/dialogue/ch03/; localization/vi.csv</x:v>
      </x:c>
      <x:c r="I251" s="12" t="str">
        <x:v>ARTIFACT_REVIEW</x:v>
      </x:c>
      <x:c r="J251" s="12" t="str">
        <x:v>M</x:v>
      </x:c>
      <x:c r="K251" s="12" t="str">
        <x:v>reports/tasks/T-160101/evidence.json</x:v>
      </x:c>
      <x:c r="L251" s="12" t="str">
        <x:v>tasks/T-160101.md</x:v>
      </x:c>
      <x:c r="M251" s="12" t="str">
        <x:v>none</x:v>
      </x:c>
    </x:row>
    <x:row r="252" ht="58" customHeight="1">
      <x:c r="A252" s="12" t="str">
        <x:v>T-160102</x:v>
      </x:c>
      <x:c r="B252" s="12" t="str">
        <x:v>S16</x:v>
      </x:c>
      <x:c r="C252" s="12" t="str">
        <x:v>ST-1601</x:v>
      </x:c>
      <x:c r="D252" s="12" t="str">
        <x:v>GAMEPLAY_AGENT</x:v>
      </x:c>
      <x:c r="E252" s="12" t="str">
        <x:v>Ghép trigger diễn xuất và camera focus H03</x:v>
      </x:c>
      <x:c r="F252" s="12" t="str">
        <x:v>NOT_STARTED</x:v>
      </x:c>
      <x:c r="G252" s="12" t="str">
        <x:v>T-150401, T-150402, T-150403, T-150404, T-160101</x:v>
      </x:c>
      <x:c r="H252" s="12" t="str">
        <x:v>data/sequences/ch03/; scenes/levels/ch03/</x:v>
      </x:c>
      <x:c r="I252" s="12" t="str">
        <x:v>ARTIFACT_REVIEW, ENGINE_TEST, RENDERED_RUNTIME</x:v>
      </x:c>
      <x:c r="J252" s="12" t="str">
        <x:v>L</x:v>
      </x:c>
      <x:c r="K252" s="12" t="str">
        <x:v>reports/tasks/T-160102/evidence.json</x:v>
      </x:c>
      <x:c r="L252" s="12" t="str">
        <x:v>tasks/T-160102.md</x:v>
      </x:c>
      <x:c r="M252" s="12" t="str">
        <x:v>none</x:v>
      </x:c>
    </x:row>
    <x:row r="253" ht="58" customHeight="1">
      <x:c r="A253" s="12" t="str">
        <x:v>T-160103</x:v>
      </x:c>
      <x:c r="B253" s="12" t="str">
        <x:v>S16</x:v>
      </x:c>
      <x:c r="C253" s="12" t="str">
        <x:v>ST-1601</x:v>
      </x:c>
      <x:c r="D253" s="12" t="str">
        <x:v>GAMEPLAY_AGENT</x:v>
      </x:c>
      <x:c r="E253" s="12" t="str">
        <x:v>Cấu hình nhịp encounter hoặc nghỉ nhịp H03</x:v>
      </x:c>
      <x:c r="F253" s="12" t="str">
        <x:v>NOT_STARTED</x:v>
      </x:c>
      <x:c r="G253" s="12" t="str">
        <x:v>T-150401, T-150402, T-150403, T-150404, T-160102</x:v>
      </x:c>
      <x:c r="H253" s="12" t="str">
        <x:v>data/encounters/ch03.tres</x:v>
      </x:c>
      <x:c r="I253" s="12" t="str">
        <x:v>ARTIFACT_REVIEW, ENGINE_TEST</x:v>
      </x:c>
      <x:c r="J253" s="12" t="str">
        <x:v>M</x:v>
      </x:c>
      <x:c r="K253" s="12" t="str">
        <x:v>reports/tasks/T-160103/evidence.json</x:v>
      </x:c>
      <x:c r="L253" s="12" t="str">
        <x:v>tasks/T-160103.md</x:v>
      </x:c>
      <x:c r="M253" s="12" t="str">
        <x:v>none</x:v>
      </x:c>
    </x:row>
    <x:row r="254" ht="58" customHeight="1">
      <x:c r="A254" s="12" t="str">
        <x:v>T-160104</x:v>
      </x:c>
      <x:c r="B254" s="12" t="str">
        <x:v>S16</x:v>
      </x:c>
      <x:c r="C254" s="12" t="str">
        <x:v>ST-1601</x:v>
      </x:c>
      <x:c r="D254" s="12" t="str">
        <x:v>GAMEPLAY_AGENT</x:v>
      </x:c>
      <x:c r="E254" s="12" t="str">
        <x:v>Kiểm tra reveal và skip/reload H03</x:v>
      </x:c>
      <x:c r="F254" s="12" t="str">
        <x:v>NOT_STARTED</x:v>
      </x:c>
      <x:c r="G254" s="12" t="str">
        <x:v>T-150401, T-150402, T-150403, T-150404, T-160103</x:v>
      </x:c>
      <x:c r="H254" s="12" t="str">
        <x:v>reports/S16/ch03_narrative.md</x:v>
      </x:c>
      <x:c r="I254" s="12" t="str">
        <x:v>ARTIFACT_REVIEW, ENGINE_TEST</x:v>
      </x:c>
      <x:c r="J254" s="12" t="str">
        <x:v>S</x:v>
      </x:c>
      <x:c r="K254" s="12" t="str">
        <x:v>reports/tasks/T-160104/evidence.json</x:v>
      </x:c>
      <x:c r="L254" s="12" t="str">
        <x:v>tasks/T-160104.md</x:v>
      </x:c>
      <x:c r="M254" s="12" t="str">
        <x:v>none</x:v>
      </x:c>
    </x:row>
    <x:row r="255" ht="58" customHeight="1">
      <x:c r="A255" s="12" t="str">
        <x:v>T-160201</x:v>
      </x:c>
      <x:c r="B255" s="12" t="str">
        <x:v>S16</x:v>
      </x:c>
      <x:c r="C255" s="12" t="str">
        <x:v>ST-1602</x:v>
      </x:c>
      <x:c r="D255" s="12" t="str">
        <x:v>ART_AGENT</x:v>
      </x:c>
      <x:c r="E255" s="12" t="str">
        <x:v>Hoàn thiện material/lighting môi trường H03</x:v>
      </x:c>
      <x:c r="F255" s="12" t="str">
        <x:v>NOT_STARTED</x:v>
      </x:c>
      <x:c r="G255" s="12" t="str">
        <x:v>T-150301, T-150302, T-150303, T-150304, T-160101, T-160102, T-160103, T-160104</x:v>
      </x:c>
      <x:c r="H255" s="12" t="str">
        <x:v>art/export/environment/ch03_final/</x:v>
      </x:c>
      <x:c r="I255" s="12" t="str">
        <x:v>ARTIFACT_REVIEW, RENDERED_RUNTIME</x:v>
      </x:c>
      <x:c r="J255" s="12" t="str">
        <x:v>L</x:v>
      </x:c>
      <x:c r="K255" s="12" t="str">
        <x:v>reports/tasks/T-160201/evidence.json</x:v>
      </x:c>
      <x:c r="L255" s="12" t="str">
        <x:v>tasks/T-160201.md</x:v>
      </x:c>
      <x:c r="M255" s="12" t="str">
        <x:v>none</x:v>
      </x:c>
    </x:row>
    <x:row r="256" ht="58" customHeight="1">
      <x:c r="A256" s="12" t="str">
        <x:v>T-160202</x:v>
      </x:c>
      <x:c r="B256" s="12" t="str">
        <x:v>S16</x:v>
      </x:c>
      <x:c r="C256" s="12" t="str">
        <x:v>ST-1602</x:v>
      </x:c>
      <x:c r="D256" s="12" t="str">
        <x:v>ART_AGENT</x:v>
      </x:c>
      <x:c r="E256" s="12" t="str">
        <x:v>Hoàn thiện props/NPC diễn xuất trọng tâm H03</x:v>
      </x:c>
      <x:c r="F256" s="12" t="str">
        <x:v>NOT_STARTED</x:v>
      </x:c>
      <x:c r="G256" s="12" t="str">
        <x:v>T-150301, T-150302, T-150303, T-150304, T-160101, T-160102, T-160103, T-160104, T-160201</x:v>
      </x:c>
      <x:c r="H256" s="12" t="str">
        <x:v>art/export/characters/ch03/; art/export/props/ch03/</x:v>
      </x:c>
      <x:c r="I256" s="12" t="str">
        <x:v>ARTIFACT_REVIEW, RENDERED_RUNTIME</x:v>
      </x:c>
      <x:c r="J256" s="12" t="str">
        <x:v>L</x:v>
      </x:c>
      <x:c r="K256" s="12" t="str">
        <x:v>reports/tasks/T-160202/evidence.json</x:v>
      </x:c>
      <x:c r="L256" s="12" t="str">
        <x:v>tasks/T-160202.md</x:v>
      </x:c>
      <x:c r="M256" s="12" t="str">
        <x:v>none</x:v>
      </x:c>
    </x:row>
    <x:row r="257" ht="58" customHeight="1">
      <x:c r="A257" s="12" t="str">
        <x:v>T-160203</x:v>
      </x:c>
      <x:c r="B257" s="12" t="str">
        <x:v>S16</x:v>
      </x:c>
      <x:c r="C257" s="12" t="str">
        <x:v>ST-1602</x:v>
      </x:c>
      <x:c r="D257" s="12" t="str">
        <x:v>ART_AGENT</x:v>
      </x:c>
      <x:c r="E257" s="12" t="str">
        <x:v>Set dress và kiểm tra silhouette H03</x:v>
      </x:c>
      <x:c r="F257" s="12" t="str">
        <x:v>NOT_STARTED</x:v>
      </x:c>
      <x:c r="G257" s="12" t="str">
        <x:v>T-150301, T-150302, T-150303, T-150304, T-160101, T-160102, T-160103, T-160104, T-160202</x:v>
      </x:c>
      <x:c r="H257" s="12" t="str">
        <x:v>art/lighting/ch03/</x:v>
      </x:c>
      <x:c r="I257" s="12" t="str">
        <x:v>ARTIFACT_REVIEW, RENDERED_RUNTIME</x:v>
      </x:c>
      <x:c r="J257" s="12" t="str">
        <x:v>L</x:v>
      </x:c>
      <x:c r="K257" s="12" t="str">
        <x:v>reports/tasks/T-160203/evidence.json</x:v>
      </x:c>
      <x:c r="L257" s="12" t="str">
        <x:v>tasks/T-160203.md</x:v>
      </x:c>
      <x:c r="M257" s="12" t="str">
        <x:v>none</x:v>
      </x:c>
    </x:row>
    <x:row r="258" ht="58" customHeight="1">
      <x:c r="A258" s="12" t="str">
        <x:v>T-160204</x:v>
      </x:c>
      <x:c r="B258" s="12" t="str">
        <x:v>S16</x:v>
      </x:c>
      <x:c r="C258" s="12" t="str">
        <x:v>ST-1602</x:v>
      </x:c>
      <x:c r="D258" s="12" t="str">
        <x:v>GAMEPLAY_AGENT</x:v>
      </x:c>
      <x:c r="E258" s="12" t="str">
        <x:v>Ghép asset final và khóa phiên bản H03</x:v>
      </x:c>
      <x:c r="F258" s="12" t="str">
        <x:v>NOT_STARTED</x:v>
      </x:c>
      <x:c r="G258" s="12" t="str">
        <x:v>T-150301, T-150302, T-150303, T-150304, T-160101, T-160102, T-160103, T-160104, T-160203</x:v>
      </x:c>
      <x:c r="H258" s="12" t="str">
        <x:v>reports/S16/ch03_art_signoff.md</x:v>
      </x:c>
      <x:c r="I258" s="12" t="str">
        <x:v>ARTIFACT_REVIEW, ENGINE_TEST</x:v>
      </x:c>
      <x:c r="J258" s="12" t="str">
        <x:v>M</x:v>
      </x:c>
      <x:c r="K258" s="12" t="str">
        <x:v>reports/tasks/T-160204/evidence.json</x:v>
      </x:c>
      <x:c r="L258" s="12" t="str">
        <x:v>tasks/T-160204.md</x:v>
      </x:c>
      <x:c r="M258" s="12" t="str">
        <x:v>none</x:v>
      </x:c>
    </x:row>
    <x:row r="259" ht="58" customHeight="1">
      <x:c r="A259" s="12" t="str">
        <x:v>T-160301</x:v>
      </x:c>
      <x:c r="B259" s="12" t="str">
        <x:v>S16</x:v>
      </x:c>
      <x:c r="C259" s="12" t="str">
        <x:v>ST-1603</x:v>
      </x:c>
      <x:c r="D259" s="12" t="str">
        <x:v>AUDIO_AGENT</x:v>
      </x:c>
      <x:c r="E259" s="12" t="str">
        <x:v>Tạo ambience và cue đặc trưng H03</x:v>
      </x:c>
      <x:c r="F259" s="12" t="str">
        <x:v>NOT_STARTED</x:v>
      </x:c>
      <x:c r="G259" s="12" t="str">
        <x:v>T-160101, T-160102, T-160103, T-160104</x:v>
      </x:c>
      <x:c r="H259" s="12" t="str">
        <x:v>audio/ambience/ch03/; audio/cue_sheets/ch03.csv</x:v>
      </x:c>
      <x:c r="I259" s="12" t="str">
        <x:v>ARTIFACT_REVIEW, AUDIO_REVIEW</x:v>
      </x:c>
      <x:c r="J259" s="12" t="str">
        <x:v>L</x:v>
      </x:c>
      <x:c r="K259" s="12" t="str">
        <x:v>reports/tasks/T-160301/evidence.json</x:v>
      </x:c>
      <x:c r="L259" s="12" t="str">
        <x:v>tasks/T-160301.md</x:v>
      </x:c>
      <x:c r="M259" s="12" t="str">
        <x:v>none</x:v>
      </x:c>
    </x:row>
    <x:row r="260" ht="58" customHeight="1">
      <x:c r="A260" s="12" t="str">
        <x:v>T-160302</x:v>
      </x:c>
      <x:c r="B260" s="12" t="str">
        <x:v>S16</x:v>
      </x:c>
      <x:c r="C260" s="12" t="str">
        <x:v>ST-1603</x:v>
      </x:c>
      <x:c r="D260" s="12" t="str">
        <x:v>AUDIO_AGENT</x:v>
      </x:c>
      <x:c r="E260" s="12" t="str">
        <x:v>Tạo/chỉnh music stem và interaction SFX H03</x:v>
      </x:c>
      <x:c r="F260" s="12" t="str">
        <x:v>NOT_STARTED</x:v>
      </x:c>
      <x:c r="G260" s="12" t="str">
        <x:v>T-160101, T-160102, T-160103, T-160104, T-160301</x:v>
      </x:c>
      <x:c r="H260" s="12" t="str">
        <x:v>audio/music/ch03/; audio/sfx/ch03/</x:v>
      </x:c>
      <x:c r="I260" s="12" t="str">
        <x:v>ARTIFACT_REVIEW, AUDIO_REVIEW</x:v>
      </x:c>
      <x:c r="J260" s="12" t="str">
        <x:v>L</x:v>
      </x:c>
      <x:c r="K260" s="12" t="str">
        <x:v>reports/tasks/T-160302/evidence.json</x:v>
      </x:c>
      <x:c r="L260" s="12" t="str">
        <x:v>tasks/T-160302.md</x:v>
      </x:c>
      <x:c r="M260" s="12" t="str">
        <x:v>none</x:v>
      </x:c>
    </x:row>
    <x:row r="261" ht="58" customHeight="1">
      <x:c r="A261" s="12" t="str">
        <x:v>T-160303</x:v>
      </x:c>
      <x:c r="B261" s="12" t="str">
        <x:v>S16</x:v>
      </x:c>
      <x:c r="C261" s="12" t="str">
        <x:v>ST-1603</x:v>
      </x:c>
      <x:c r="D261" s="12" t="str">
        <x:v>GAMEPLAY_AGENT</x:v>
      </x:c>
      <x:c r="E261" s="12" t="str">
        <x:v>Ghép audio transitions và captions H03</x:v>
      </x:c>
      <x:c r="F261" s="12" t="str">
        <x:v>NOT_STARTED</x:v>
      </x:c>
      <x:c r="G261" s="12" t="str">
        <x:v>T-160101, T-160102, T-160103, T-160104, T-160302</x:v>
      </x:c>
      <x:c r="H261" s="12" t="str">
        <x:v>scenes/levels/ch03/; localization/captions.csv</x:v>
      </x:c>
      <x:c r="I261" s="12" t="str">
        <x:v>ARTIFACT_REVIEW, ENGINE_TEST</x:v>
      </x:c>
      <x:c r="J261" s="12" t="str">
        <x:v>L</x:v>
      </x:c>
      <x:c r="K261" s="12" t="str">
        <x:v>reports/tasks/T-160303/evidence.json</x:v>
      </x:c>
      <x:c r="L261" s="12" t="str">
        <x:v>tasks/T-160303.md</x:v>
      </x:c>
      <x:c r="M261" s="12" t="str">
        <x:v>none</x:v>
      </x:c>
    </x:row>
    <x:row r="262" ht="58" customHeight="1">
      <x:c r="A262" s="12" t="str">
        <x:v>T-160304</x:v>
      </x:c>
      <x:c r="B262" s="12" t="str">
        <x:v>S16</x:v>
      </x:c>
      <x:c r="C262" s="12" t="str">
        <x:v>ST-1603</x:v>
      </x:c>
      <x:c r="D262" s="12" t="str">
        <x:v>QA_AGENT</x:v>
      </x:c>
      <x:c r="E262" s="12" t="str">
        <x:v>Test mute/mix/pause trong H03</x:v>
      </x:c>
      <x:c r="F262" s="12" t="str">
        <x:v>NOT_STARTED</x:v>
      </x:c>
      <x:c r="G262" s="12" t="str">
        <x:v>T-160101, T-160102, T-160103, T-160104, T-160303</x:v>
      </x:c>
      <x:c r="H262" s="12" t="str">
        <x:v>reports/S16/ch03_audio.md</x:v>
      </x:c>
      <x:c r="I262" s="12" t="str">
        <x:v>ARTIFACT_REVIEW, ENGINE_TEST, RENDERED_RUNTIME</x:v>
      </x:c>
      <x:c r="J262" s="12" t="str">
        <x:v>S</x:v>
      </x:c>
      <x:c r="K262" s="12" t="str">
        <x:v>reports/tasks/T-160304/evidence.json</x:v>
      </x:c>
      <x:c r="L262" s="12" t="str">
        <x:v>tasks/T-160304.md</x:v>
      </x:c>
      <x:c r="M262" s="12" t="str">
        <x:v>none</x:v>
      </x:c>
    </x:row>
    <x:row r="263" ht="58" customHeight="1">
      <x:c r="A263" s="12" t="str">
        <x:v>T-160401</x:v>
      </x:c>
      <x:c r="B263" s="12" t="str">
        <x:v>S16</x:v>
      </x:c>
      <x:c r="C263" s="12" t="str">
        <x:v>ST-1604</x:v>
      </x:c>
      <x:c r="D263" s="12" t="str">
        <x:v>QA_AGENT</x:v>
      </x:c>
      <x:c r="E263" s="12" t="str">
        <x:v>Chạy puzzle/save/phase matrix H03</x:v>
      </x:c>
      <x:c r="F263" s="12" t="str">
        <x:v>NOT_STARTED</x:v>
      </x:c>
      <x:c r="G263" s="12" t="str">
        <x:v>T-160101, T-160102, T-160103, T-160104, T-160201, T-160202, T-160203, T-160204, T-160301, T-160302, T-160303, T-160304</x:v>
      </x:c>
      <x:c r="H263" s="12" t="str">
        <x:v>reports/S16/ch03_regression.csv</x:v>
      </x:c>
      <x:c r="I263" s="12" t="str">
        <x:v>ARTIFACT_REVIEW, ENGINE_TEST, RENDERED_RUNTIME</x:v>
      </x:c>
      <x:c r="J263" s="12" t="str">
        <x:v>L</x:v>
      </x:c>
      <x:c r="K263" s="12" t="str">
        <x:v>reports/tasks/T-160401/evidence.json</x:v>
      </x:c>
      <x:c r="L263" s="12" t="str">
        <x:v>tasks/T-160401.md</x:v>
      </x:c>
      <x:c r="M263" s="12" t="str">
        <x:v>none</x:v>
      </x:c>
    </x:row>
    <x:row r="264" ht="58" customHeight="1">
      <x:c r="A264" s="12" t="str">
        <x:v>T-160402</x:v>
      </x:c>
      <x:c r="B264" s="12" t="str">
        <x:v>S16</x:v>
      </x:c>
      <x:c r="C264" s="12" t="str">
        <x:v>ST-1604</x:v>
      </x:c>
      <x:c r="D264" s="12" t="str">
        <x:v>QA_AGENT</x:v>
      </x:c>
      <x:c r="E264" s="12" t="str">
        <x:v>Test ngoài nhóm và quan sát đường chơi H03</x:v>
      </x:c>
      <x:c r="F264" s="12" t="str">
        <x:v>NOT_STARTED</x:v>
      </x:c>
      <x:c r="G264" s="12" t="str">
        <x:v>T-160101, T-160102, T-160103, T-160104, T-160201, T-160202, T-160203, T-160204, T-160301, T-160302, T-160303, T-160304, T-160401</x:v>
      </x:c>
      <x:c r="H264" s="12" t="str">
        <x:v>reports/S16/ch03_playtest.md</x:v>
      </x:c>
      <x:c r="I264" s="12" t="str">
        <x:v>ARTIFACT_REVIEW, ENGINE_TEST, RENDERED_RUNTIME</x:v>
      </x:c>
      <x:c r="J264" s="12" t="str">
        <x:v>L</x:v>
      </x:c>
      <x:c r="K264" s="12" t="str">
        <x:v>reports/tasks/T-160402/evidence.json</x:v>
      </x:c>
      <x:c r="L264" s="12" t="str">
        <x:v>tasks/T-160402.md</x:v>
      </x:c>
      <x:c r="M264" s="12" t="str">
        <x:v>none</x:v>
      </x:c>
    </x:row>
    <x:row r="265" ht="58" customHeight="1">
      <x:c r="A265" s="12" t="str">
        <x:v>T-160403</x:v>
      </x:c>
      <x:c r="B265" s="12" t="str">
        <x:v>S16</x:v>
      </x:c>
      <x:c r="C265" s="12" t="str">
        <x:v>ST-1604</x:v>
      </x:c>
      <x:c r="D265" s="12" t="str">
        <x:v>QA_AGENT</x:v>
      </x:c>
      <x:c r="E265" s="12" t="str">
        <x:v>Sửa blocker/hint/camera trọng tâm H03</x:v>
      </x:c>
      <x:c r="F265" s="12" t="str">
        <x:v>NOT_STARTED</x:v>
      </x:c>
      <x:c r="G265" s="12" t="str">
        <x:v>T-160101, T-160102, T-160103, T-160104, T-160201, T-160202, T-160203, T-160204, T-160301, T-160302, T-160303, T-160304, T-160402</x:v>
      </x:c>
      <x:c r="H265" s="12" t="str">
        <x:v>reports/S16/ch03_retest.md</x:v>
      </x:c>
      <x:c r="I265" s="12" t="str">
        <x:v>ARTIFACT_REVIEW, ENGINE_TEST, RENDERED_RUNTIME</x:v>
      </x:c>
      <x:c r="J265" s="12" t="str">
        <x:v>L</x:v>
      </x:c>
      <x:c r="K265" s="12" t="str">
        <x:v>reports/tasks/T-160403/evidence.json</x:v>
      </x:c>
      <x:c r="L265" s="12" t="str">
        <x:v>tasks/T-160403.md</x:v>
      </x:c>
      <x:c r="M265" s="12" t="str">
        <x:v>none</x:v>
      </x:c>
    </x:row>
    <x:row r="266" ht="58" customHeight="1">
      <x:c r="A266" s="12" t="str">
        <x:v>T-160404</x:v>
      </x:c>
      <x:c r="B266" s="12" t="str">
        <x:v>S16</x:v>
      </x:c>
      <x:c r="C266" s="12" t="str">
        <x:v>ST-1604</x:v>
      </x:c>
      <x:c r="D266" s="12" t="str">
        <x:v>QA_AGENT</x:v>
      </x:c>
      <x:c r="E266" s="12" t="str">
        <x:v>Test lại từ hub xuyên hai chapter gần nhất</x:v>
      </x:c>
      <x:c r="F266" s="12" t="str">
        <x:v>NOT_STARTED</x:v>
      </x:c>
      <x:c r="G266" s="12" t="str">
        <x:v>T-160101, T-160102, T-160103, T-160104, T-160201, T-160202, T-160203, T-160204, T-160301, T-160302, T-160303, T-160304, T-160403</x:v>
      </x:c>
      <x:c r="H266" s="12" t="str">
        <x:v>reports/S16/cross_chapter.md</x:v>
      </x:c>
      <x:c r="I266" s="12" t="str">
        <x:v>ARTIFACT_REVIEW, ENGINE_TEST, RENDERED_RUNTIME</x:v>
      </x:c>
      <x:c r="J266" s="12" t="str">
        <x:v>L</x:v>
      </x:c>
      <x:c r="K266" s="12" t="str">
        <x:v>reports/tasks/T-160404/evidence.json</x:v>
      </x:c>
      <x:c r="L266" s="12" t="str">
        <x:v>tasks/T-160404.md</x:v>
      </x:c>
      <x:c r="M266" s="12" t="str">
        <x:v>none</x:v>
      </x:c>
    </x:row>
    <x:row r="267" ht="58" customHeight="1">
      <x:c r="A267" s="12" t="str">
        <x:v>T-160405</x:v>
      </x:c>
      <x:c r="B267" s="12" t="str">
        <x:v>S16</x:v>
      </x:c>
      <x:c r="C267" s="12" t="str">
        <x:v>ST-1604</x:v>
      </x:c>
      <x:c r="D267" s="12" t="str">
        <x:v>GAMEPLAY_AGENT</x:v>
      </x:c>
      <x:c r="E267" s="12" t="str">
        <x:v>Duyệt chapter DoD và đánh giá lại đường găng</x:v>
      </x:c>
      <x:c r="F267" s="12" t="str">
        <x:v>NOT_STARTED</x:v>
      </x:c>
      <x:c r="G267" s="12" t="str">
        <x:v>T-160101, T-160102, T-160103, T-160104, T-160201, T-160202, T-160203, T-160204, T-160301, T-160302, T-160303, T-160304, T-160404</x:v>
      </x:c>
      <x:c r="H267" s="12" t="str">
        <x:v>reports/S16/ch03_signoff.md</x:v>
      </x:c>
      <x:c r="I267" s="12" t="str">
        <x:v>ARTIFACT_REVIEW, ENGINE_TEST</x:v>
      </x:c>
      <x:c r="J267" s="12" t="str">
        <x:v>S</x:v>
      </x:c>
      <x:c r="K267" s="12" t="str">
        <x:v>reports/tasks/T-160405/evidence.json</x:v>
      </x:c>
      <x:c r="L267" s="12" t="str">
        <x:v>tasks/T-160405.md</x:v>
      </x:c>
      <x:c r="M267" s="12" t="str">
        <x:v>none</x:v>
      </x:c>
    </x:row>
    <x:row r="268" ht="58" customHeight="1">
      <x:c r="A268" s="12" t="str">
        <x:v>T-170101</x:v>
      </x:c>
      <x:c r="B268" s="12" t="str">
        <x:v>S17</x:v>
      </x:c>
      <x:c r="C268" s="12" t="str">
        <x:v>ST-1701</x:v>
      </x:c>
      <x:c r="D268" s="12" t="str">
        <x:v>GAMEPLAY_AGENT</x:v>
      </x:c>
      <x:c r="E268" s="12" t="str">
        <x:v>Viết beat sheet, route graph và reveal cho H04</x:v>
      </x:c>
      <x:c r="F268" s="12" t="str">
        <x:v>NOT_STARTED</x:v>
      </x:c>
      <x:c r="G268" s="12" t="str">
        <x:v>T-160401, T-160402, T-160403, T-160404, T-160405</x:v>
      </x:c>
      <x:c r="H268" s="12" t="str">
        <x:v>docs/chapters/ch04.md</x:v>
      </x:c>
      <x:c r="I268" s="12" t="str">
        <x:v>ARTIFACT_REVIEW, ENGINE_TEST</x:v>
      </x:c>
      <x:c r="J268" s="12" t="str">
        <x:v>M</x:v>
      </x:c>
      <x:c r="K268" s="12" t="str">
        <x:v>reports/tasks/T-170101/evidence.json</x:v>
      </x:c>
      <x:c r="L268" s="12" t="str">
        <x:v>tasks/T-170101.md</x:v>
      </x:c>
      <x:c r="M268" s="12" t="str">
        <x:v>none</x:v>
      </x:c>
    </x:row>
    <x:row r="269" ht="58" customHeight="1">
      <x:c r="A269" s="12" t="str">
        <x:v>T-170102</x:v>
      </x:c>
      <x:c r="B269" s="12" t="str">
        <x:v>S17</x:v>
      </x:c>
      <x:c r="C269" s="12" t="str">
        <x:v>ST-1701</x:v>
      </x:c>
      <x:c r="D269" s="12" t="str">
        <x:v>GAMEPLAY_AGENT</x:v>
      </x:c>
      <x:c r="E269" s="12" t="str">
        <x:v>Blockout H04 / hành lang trường / phòng hồ sơ</x:v>
      </x:c>
      <x:c r="F269" s="12" t="str">
        <x:v>NOT_STARTED</x:v>
      </x:c>
      <x:c r="G269" s="12" t="str">
        <x:v>T-160401, T-160402, T-160403, T-160404, T-160405, T-170101</x:v>
      </x:c>
      <x:c r="H269" s="12" t="str">
        <x:v>scenes/levels/ch04/ch04_level.tscn</x:v>
      </x:c>
      <x:c r="I269" s="12" t="str">
        <x:v>ARTIFACT_REVIEW, ENGINE_TEST</x:v>
      </x:c>
      <x:c r="J269" s="12" t="str">
        <x:v>L</x:v>
      </x:c>
      <x:c r="K269" s="12" t="str">
        <x:v>reports/tasks/T-170102/evidence.json</x:v>
      </x:c>
      <x:c r="L269" s="12" t="str">
        <x:v>tasks/T-170102.md</x:v>
      </x:c>
      <x:c r="M269" s="12" t="str">
        <x:v>none</x:v>
      </x:c>
    </x:row>
    <x:row r="270" ht="58" customHeight="1">
      <x:c r="A270" s="12" t="str">
        <x:v>T-170103</x:v>
      </x:c>
      <x:c r="B270" s="12" t="str">
        <x:v>S17</x:v>
      </x:c>
      <x:c r="C270" s="12" t="str">
        <x:v>ST-1701</x:v>
      </x:c>
      <x:c r="D270" s="12" t="str">
        <x:v>GAMEPLAY_AGENT</x:v>
      </x:c>
      <x:c r="E270" s="12" t="str">
        <x:v>Gắn ChapterManifest, house erasure và hub exits H04</x:v>
      </x:c>
      <x:c r="F270" s="12" t="str">
        <x:v>NOT_STARTED</x:v>
      </x:c>
      <x:c r="G270" s="12" t="str">
        <x:v>T-160401, T-160402, T-160403, T-160404, T-160405, T-170102</x:v>
      </x:c>
      <x:c r="H270" s="12" t="str">
        <x:v>data/chapters/ch04.tres</x:v>
      </x:c>
      <x:c r="I270" s="12" t="str">
        <x:v>ARTIFACT_REVIEW, ENGINE_TEST</x:v>
      </x:c>
      <x:c r="J270" s="12" t="str">
        <x:v>M</x:v>
      </x:c>
      <x:c r="K270" s="12" t="str">
        <x:v>reports/tasks/T-170103/evidence.json</x:v>
      </x:c>
      <x:c r="L270" s="12" t="str">
        <x:v>tasks/T-170103.md</x:v>
      </x:c>
      <x:c r="M270" s="12" t="str">
        <x:v>none</x:v>
      </x:c>
    </x:row>
    <x:row r="271" ht="58" customHeight="1">
      <x:c r="A271" s="12" t="str">
        <x:v>T-170104</x:v>
      </x:c>
      <x:c r="B271" s="12" t="str">
        <x:v>S17</x:v>
      </x:c>
      <x:c r="C271" s="12" t="str">
        <x:v>ST-1701</x:v>
      </x:c>
      <x:c r="D271" s="12" t="str">
        <x:v>QA_AGENT</x:v>
      </x:c>
      <x:c r="E271" s="12" t="str">
        <x:v>Test load checkpoint và đi lại trong H04</x:v>
      </x:c>
      <x:c r="F271" s="12" t="str">
        <x:v>NOT_STARTED</x:v>
      </x:c>
      <x:c r="G271" s="12" t="str">
        <x:v>T-160401, T-160402, T-160403, T-160404, T-160405, T-170103</x:v>
      </x:c>
      <x:c r="H271" s="12" t="str">
        <x:v>reports/S17/ch04_traversal.md</x:v>
      </x:c>
      <x:c r="I271" s="12" t="str">
        <x:v>ARTIFACT_REVIEW, ENGINE_TEST, RENDERED_RUNTIME</x:v>
      </x:c>
      <x:c r="J271" s="12" t="str">
        <x:v>S</x:v>
      </x:c>
      <x:c r="K271" s="12" t="str">
        <x:v>reports/tasks/T-170104/evidence.json</x:v>
      </x:c>
      <x:c r="L271" s="12" t="str">
        <x:v>tasks/T-170104.md</x:v>
      </x:c>
      <x:c r="M271" s="12" t="str">
        <x:v>none</x:v>
      </x:c>
    </x:row>
    <x:row r="272" ht="58" customHeight="1">
      <x:c r="A272" s="12" t="str">
        <x:v>T-170201</x:v>
      </x:c>
      <x:c r="B272" s="12" t="str">
        <x:v>S17</x:v>
      </x:c>
      <x:c r="C272" s="12" t="str">
        <x:v>ST-1702</x:v>
      </x:c>
      <x:c r="D272" s="12" t="str">
        <x:v>GAMEPLAY_AGENT</x:v>
      </x:c>
      <x:c r="E272" s="12" t="str">
        <x:v>Đặc tả state graph và hint của P14</x:v>
      </x:c>
      <x:c r="F272" s="12" t="str">
        <x:v>NOT_STARTED</x:v>
      </x:c>
      <x:c r="G272" s="12" t="str">
        <x:v>T-170101, T-170102, T-170103, T-170104</x:v>
      </x:c>
      <x:c r="H272" s="12" t="str">
        <x:v>docs/puzzles/P14.md</x:v>
      </x:c>
      <x:c r="I272" s="12" t="str">
        <x:v>ARTIFACT_REVIEW, ENGINE_TEST</x:v>
      </x:c>
      <x:c r="J272" s="12" t="str">
        <x:v>M</x:v>
      </x:c>
      <x:c r="K272" s="12" t="str">
        <x:v>reports/tasks/T-170201/evidence.json</x:v>
      </x:c>
      <x:c r="L272" s="12" t="str">
        <x:v>tasks/T-170201.md</x:v>
      </x:c>
      <x:c r="M272" s="12" t="str">
        <x:v>none</x:v>
      </x:c>
    </x:row>
    <x:row r="273" ht="58" customHeight="1">
      <x:c r="A273" s="12" t="str">
        <x:v>T-170202</x:v>
      </x:c>
      <x:c r="B273" s="12" t="str">
        <x:v>S17</x:v>
      </x:c>
      <x:c r="C273" s="12" t="str">
        <x:v>ST-1702</x:v>
      </x:c>
      <x:c r="D273" s="12" t="str">
        <x:v>GAMEPLAY_AGENT</x:v>
      </x:c>
      <x:c r="E273" s="12" t="str">
        <x:v>Implement tương tác và điều kiện P14</x:v>
      </x:c>
      <x:c r="F273" s="12" t="str">
        <x:v>NOT_STARTED</x:v>
      </x:c>
      <x:c r="G273" s="12" t="str">
        <x:v>T-170101, T-170102, T-170103, T-170104, T-170201</x:v>
      </x:c>
      <x:c r="H273" s="12" t="str">
        <x:v>data/puzzles/P14.tres; scenes/puzzles/P14.tscn</x:v>
      </x:c>
      <x:c r="I273" s="12" t="str">
        <x:v>ARTIFACT_REVIEW, ENGINE_TEST</x:v>
      </x:c>
      <x:c r="J273" s="12" t="str">
        <x:v>L</x:v>
      </x:c>
      <x:c r="K273" s="12" t="str">
        <x:v>reports/tasks/T-170202/evidence.json</x:v>
      </x:c>
      <x:c r="L273" s="12" t="str">
        <x:v>tasks/T-170202.md</x:v>
      </x:c>
      <x:c r="M273" s="12" t="str">
        <x:v>none</x:v>
      </x:c>
    </x:row>
    <x:row r="274" ht="58" customHeight="1">
      <x:c r="A274" s="12" t="str">
        <x:v>T-170203</x:v>
      </x:c>
      <x:c r="B274" s="12" t="str">
        <x:v>S17</x:v>
      </x:c>
      <x:c r="C274" s="12" t="str">
        <x:v>ST-1702</x:v>
      </x:c>
      <x:c r="D274" s="12" t="str">
        <x:v>GAMEPLAY_AGENT</x:v>
      </x:c>
      <x:c r="E274" s="12" t="str">
        <x:v>Ghép clue/reward và feedback của P14</x:v>
      </x:c>
      <x:c r="F274" s="12" t="str">
        <x:v>NOT_STARTED</x:v>
      </x:c>
      <x:c r="G274" s="12" t="str">
        <x:v>T-170101, T-170102, T-170103, T-170104, T-170202</x:v>
      </x:c>
      <x:c r="H274" s="12" t="str">
        <x:v>data/evidence/H04/; data/hints/ch04.tres</x:v>
      </x:c>
      <x:c r="I274" s="12" t="str">
        <x:v>ARTIFACT_REVIEW, ENGINE_TEST</x:v>
      </x:c>
      <x:c r="J274" s="12" t="str">
        <x:v>M</x:v>
      </x:c>
      <x:c r="K274" s="12" t="str">
        <x:v>reports/tasks/T-170203/evidence.json</x:v>
      </x:c>
      <x:c r="L274" s="12" t="str">
        <x:v>tasks/T-170203.md</x:v>
      </x:c>
      <x:c r="M274" s="12" t="str">
        <x:v>none</x:v>
      </x:c>
    </x:row>
    <x:row r="275" ht="58" customHeight="1">
      <x:c r="A275" s="12" t="str">
        <x:v>T-170204</x:v>
      </x:c>
      <x:c r="B275" s="12" t="str">
        <x:v>S17</x:v>
      </x:c>
      <x:c r="C275" s="12" t="str">
        <x:v>ST-1702</x:v>
      </x:c>
      <x:c r="D275" s="12" t="str">
        <x:v>QA_AGENT</x:v>
      </x:c>
      <x:c r="E275" s="12" t="str">
        <x:v>Test lời giải sai/đúng/reload P14</x:v>
      </x:c>
      <x:c r="F275" s="12" t="str">
        <x:v>NOT_STARTED</x:v>
      </x:c>
      <x:c r="G275" s="12" t="str">
        <x:v>T-170101, T-170102, T-170103, T-170104, T-170203</x:v>
      </x:c>
      <x:c r="H275" s="12" t="str">
        <x:v>reports/S17/P14_tests.md</x:v>
      </x:c>
      <x:c r="I275" s="12" t="str">
        <x:v>ARTIFACT_REVIEW, ENGINE_TEST, RENDERED_RUNTIME</x:v>
      </x:c>
      <x:c r="J275" s="12" t="str">
        <x:v>S</x:v>
      </x:c>
      <x:c r="K275" s="12" t="str">
        <x:v>reports/tasks/T-170204/evidence.json</x:v>
      </x:c>
      <x:c r="L275" s="12" t="str">
        <x:v>tasks/T-170204.md</x:v>
      </x:c>
      <x:c r="M275" s="12" t="str">
        <x:v>none</x:v>
      </x:c>
    </x:row>
    <x:row r="276" ht="58" customHeight="1">
      <x:c r="A276" s="12" t="str">
        <x:v>T-170301</x:v>
      </x:c>
      <x:c r="B276" s="12" t="str">
        <x:v>S17</x:v>
      </x:c>
      <x:c r="C276" s="12" t="str">
        <x:v>ST-1703</x:v>
      </x:c>
      <x:c r="D276" s="12" t="str">
        <x:v>ART_AGENT</x:v>
      </x:c>
      <x:c r="E276" s="12" t="str">
        <x:v>Dựng layout art từ greybox H04</x:v>
      </x:c>
      <x:c r="F276" s="12" t="str">
        <x:v>NOT_STARTED</x:v>
      </x:c>
      <x:c r="G276" s="12" t="str">
        <x:v>T-110301, T-110302, T-110303, T-110304, T-170101, T-170102, T-170103, T-170104</x:v>
      </x:c>
      <x:c r="H276" s="12" t="str">
        <x:v>art/source/ch04_layout.blend</x:v>
      </x:c>
      <x:c r="I276" s="12" t="str">
        <x:v>ARTIFACT_REVIEW, RENDERED_RUNTIME</x:v>
      </x:c>
      <x:c r="J276" s="12" t="str">
        <x:v>L</x:v>
      </x:c>
      <x:c r="K276" s="12" t="str">
        <x:v>reports/tasks/T-170301/evidence.json</x:v>
      </x:c>
      <x:c r="L276" s="12" t="str">
        <x:v>tasks/T-170301.md</x:v>
      </x:c>
      <x:c r="M276" s="12" t="str">
        <x:v>none</x:v>
      </x:c>
    </x:row>
    <x:row r="277" ht="58" customHeight="1">
      <x:c r="A277" s="12" t="str">
        <x:v>T-170302</x:v>
      </x:c>
      <x:c r="B277" s="12" t="str">
        <x:v>S17</x:v>
      </x:c>
      <x:c r="C277" s="12" t="str">
        <x:v>ST-1703</x:v>
      </x:c>
      <x:c r="D277" s="12" t="str">
        <x:v>ART_AGENT</x:v>
      </x:c>
      <x:c r="E277" s="12" t="str">
        <x:v>Dựng nhóm prop puzzle P14/P15</x:v>
      </x:c>
      <x:c r="F277" s="12" t="str">
        <x:v>NOT_STARTED</x:v>
      </x:c>
      <x:c r="G277" s="12" t="str">
        <x:v>T-110301, T-110302, T-110303, T-110304, T-170101, T-170102, T-170103, T-170104, T-170301</x:v>
      </x:c>
      <x:c r="H277" s="12" t="str">
        <x:v>art/export/props/ch04/</x:v>
      </x:c>
      <x:c r="I277" s="12" t="str">
        <x:v>ARTIFACT_REVIEW, RENDERED_RUNTIME</x:v>
      </x:c>
      <x:c r="J277" s="12" t="str">
        <x:v>L</x:v>
      </x:c>
      <x:c r="K277" s="12" t="str">
        <x:v>reports/tasks/T-170302/evidence.json</x:v>
      </x:c>
      <x:c r="L277" s="12" t="str">
        <x:v>tasks/T-170302.md</x:v>
      </x:c>
      <x:c r="M277" s="12" t="str">
        <x:v>none</x:v>
      </x:c>
    </x:row>
    <x:row r="278" ht="58" customHeight="1">
      <x:c r="A278" s="12" t="str">
        <x:v>T-170303</x:v>
      </x:c>
      <x:c r="B278" s="12" t="str">
        <x:v>S17</x:v>
      </x:c>
      <x:c r="C278" s="12" t="str">
        <x:v>ST-1703</x:v>
      </x:c>
      <x:c r="D278" s="12" t="str">
        <x:v>ART_AGENT</x:v>
      </x:c>
      <x:c r="E278" s="12" t="str">
        <x:v>Chuẩn bị variant REAL/ERASED cho H04</x:v>
      </x:c>
      <x:c r="F278" s="12" t="str">
        <x:v>NOT_STARTED</x:v>
      </x:c>
      <x:c r="G278" s="12" t="str">
        <x:v>T-110301, T-110302, T-110303, T-110304, T-170101, T-170102, T-170103, T-170104, T-170302</x:v>
      </x:c>
      <x:c r="H278" s="12" t="str">
        <x:v>art/export/environment/ch04/</x:v>
      </x:c>
      <x:c r="I278" s="12" t="str">
        <x:v>ARTIFACT_REVIEW, RENDERED_RUNTIME</x:v>
      </x:c>
      <x:c r="J278" s="12" t="str">
        <x:v>L</x:v>
      </x:c>
      <x:c r="K278" s="12" t="str">
        <x:v>reports/tasks/T-170303/evidence.json</x:v>
      </x:c>
      <x:c r="L278" s="12" t="str">
        <x:v>tasks/T-170303.md</x:v>
      </x:c>
      <x:c r="M278" s="12" t="str">
        <x:v>none</x:v>
      </x:c>
    </x:row>
    <x:row r="279" ht="58" customHeight="1">
      <x:c r="A279" s="12" t="str">
        <x:v>T-170304</x:v>
      </x:c>
      <x:c r="B279" s="12" t="str">
        <x:v>S17</x:v>
      </x:c>
      <x:c r="C279" s="12" t="str">
        <x:v>ST-1703</x:v>
      </x:c>
      <x:c r="D279" s="12" t="str">
        <x:v>ORCHESTRATOR</x:v>
      </x:c>
      <x:c r="E279" s="12" t="str">
        <x:v>Import art đầu và kiểm tra collision H04</x:v>
      </x:c>
      <x:c r="F279" s="12" t="str">
        <x:v>NOT_STARTED</x:v>
      </x:c>
      <x:c r="G279" s="12" t="str">
        <x:v>T-110301, T-110302, T-110303, T-110304, T-170101, T-170102, T-170103, T-170104, T-170303</x:v>
      </x:c>
      <x:c r="H279" s="12" t="str">
        <x:v>reports/S17/ch04_asset_review.md</x:v>
      </x:c>
      <x:c r="I279" s="12" t="str">
        <x:v>ARTIFACT_REVIEW</x:v>
      </x:c>
      <x:c r="J279" s="12" t="str">
        <x:v>M</x:v>
      </x:c>
      <x:c r="K279" s="12" t="str">
        <x:v>reports/tasks/T-170304/evidence.json</x:v>
      </x:c>
      <x:c r="L279" s="12" t="str">
        <x:v>tasks/T-170304.md</x:v>
      </x:c>
      <x:c r="M279" s="12" t="str">
        <x:v>none</x:v>
      </x:c>
    </x:row>
    <x:row r="280" ht="58" customHeight="1">
      <x:c r="A280" s="12" t="str">
        <x:v>T-170401</x:v>
      </x:c>
      <x:c r="B280" s="12" t="str">
        <x:v>S17</x:v>
      </x:c>
      <x:c r="C280" s="12" t="str">
        <x:v>ST-1704</x:v>
      </x:c>
      <x:c r="D280" s="12" t="str">
        <x:v>GAMEPLAY_AGENT</x:v>
      </x:c>
      <x:c r="E280" s="12" t="str">
        <x:v>Implement state graph và tương tác P15</x:v>
      </x:c>
      <x:c r="F280" s="12" t="str">
        <x:v>NOT_STARTED</x:v>
      </x:c>
      <x:c r="G280" s="12" t="str">
        <x:v>T-170201, T-170202, T-170203, T-170204, T-170301, T-170302, T-170303, T-170304</x:v>
      </x:c>
      <x:c r="H280" s="12" t="str">
        <x:v>docs/puzzles/P15.md; data/puzzles/P15.tres</x:v>
      </x:c>
      <x:c r="I280" s="12" t="str">
        <x:v>ARTIFACT_REVIEW, ENGINE_TEST</x:v>
      </x:c>
      <x:c r="J280" s="12" t="str">
        <x:v>L</x:v>
      </x:c>
      <x:c r="K280" s="12" t="str">
        <x:v>reports/tasks/T-170401/evidence.json</x:v>
      </x:c>
      <x:c r="L280" s="12" t="str">
        <x:v>tasks/T-170401.md</x:v>
      </x:c>
      <x:c r="M280" s="12" t="str">
        <x:v>none</x:v>
      </x:c>
    </x:row>
    <x:row r="281" ht="58" customHeight="1">
      <x:c r="A281" s="12" t="str">
        <x:v>T-170402</x:v>
      </x:c>
      <x:c r="B281" s="12" t="str">
        <x:v>S17</x:v>
      </x:c>
      <x:c r="C281" s="12" t="str">
        <x:v>ST-1704</x:v>
      </x:c>
      <x:c r="D281" s="12" t="str">
        <x:v>GAMEPLAY_AGENT</x:v>
      </x:c>
      <x:c r="E281" s="12" t="str">
        <x:v>Dựng nhánh M04 — Sơ đồ cửa sau trường hướng lên đồi</x:v>
      </x:c>
      <x:c r="F281" s="12" t="str">
        <x:v>NOT_STARTED</x:v>
      </x:c>
      <x:c r="G281" s="12" t="str">
        <x:v>T-170201, T-170202, T-170203, T-170204, T-170301, T-170302, T-170303, T-170304, T-170401</x:v>
      </x:c>
      <x:c r="H281" s="12" t="str">
        <x:v>data/evidence/M04.tres; scenes/levels/ch04/</x:v>
      </x:c>
      <x:c r="I281" s="12" t="str">
        <x:v>ARTIFACT_REVIEW, ENGINE_TEST</x:v>
      </x:c>
      <x:c r="J281" s="12" t="str">
        <x:v>L</x:v>
      </x:c>
      <x:c r="K281" s="12" t="str">
        <x:v>reports/tasks/T-170402/evidence.json</x:v>
      </x:c>
      <x:c r="L281" s="12" t="str">
        <x:v>tasks/T-170402.md</x:v>
      </x:c>
      <x:c r="M281" s="12" t="str">
        <x:v>none</x:v>
      </x:c>
    </x:row>
    <x:row r="282" ht="58" customHeight="1">
      <x:c r="A282" s="12" t="str">
        <x:v>T-170403</x:v>
      </x:c>
      <x:c r="B282" s="12" t="str">
        <x:v>S17</x:v>
      </x:c>
      <x:c r="C282" s="12" t="str">
        <x:v>ST-1704</x:v>
      </x:c>
      <x:c r="D282" s="12" t="str">
        <x:v>GAMEPLAY_AGENT</x:v>
      </x:c>
      <x:c r="E282" s="12" t="str">
        <x:v>Ghép completion và handoff CH4→CH5</x:v>
      </x:c>
      <x:c r="F282" s="12" t="str">
        <x:v>NOT_STARTED</x:v>
      </x:c>
      <x:c r="G282" s="12" t="str">
        <x:v>T-170201, T-170202, T-170203, T-170204, T-170301, T-170302, T-170303, T-170304, T-170402</x:v>
      </x:c>
      <x:c r="H282" s="12" t="str">
        <x:v>data/story/ch04_handoff.tres</x:v>
      </x:c>
      <x:c r="I282" s="12" t="str">
        <x:v>ARTIFACT_REVIEW, ENGINE_TEST</x:v>
      </x:c>
      <x:c r="J282" s="12" t="str">
        <x:v>M</x:v>
      </x:c>
      <x:c r="K282" s="12" t="str">
        <x:v>reports/tasks/T-170403/evidence.json</x:v>
      </x:c>
      <x:c r="L282" s="12" t="str">
        <x:v>tasks/T-170403.md</x:v>
      </x:c>
      <x:c r="M282" s="12" t="str">
        <x:v>none</x:v>
      </x:c>
    </x:row>
    <x:row r="283" ht="58" customHeight="1">
      <x:c r="A283" s="12" t="str">
        <x:v>T-170404</x:v>
      </x:c>
      <x:c r="B283" s="12" t="str">
        <x:v>S17</x:v>
      </x:c>
      <x:c r="C283" s="12" t="str">
        <x:v>ST-1704</x:v>
      </x:c>
      <x:c r="D283" s="12" t="str">
        <x:v>QA_AGENT</x:v>
      </x:c>
      <x:c r="E283" s="12" t="str">
        <x:v>Test greybox chapter H04 từ cold start</x:v>
      </x:c>
      <x:c r="F283" s="12" t="str">
        <x:v>NOT_STARTED</x:v>
      </x:c>
      <x:c r="G283" s="12" t="str">
        <x:v>T-170201, T-170202, T-170203, T-170204, T-170301, T-170302, T-170303, T-170304, T-170403</x:v>
      </x:c>
      <x:c r="H283" s="12" t="str">
        <x:v>reports/S17/ch04_greybox.md</x:v>
      </x:c>
      <x:c r="I283" s="12" t="str">
        <x:v>ARTIFACT_REVIEW, ENGINE_TEST, RENDERED_RUNTIME</x:v>
      </x:c>
      <x:c r="J283" s="12" t="str">
        <x:v>S</x:v>
      </x:c>
      <x:c r="K283" s="12" t="str">
        <x:v>reports/tasks/T-170404/evidence.json</x:v>
      </x:c>
      <x:c r="L283" s="12" t="str">
        <x:v>tasks/T-170404.md</x:v>
      </x:c>
      <x:c r="M283" s="12" t="str">
        <x:v>none</x:v>
      </x:c>
    </x:row>
    <x:row r="284" ht="58" customHeight="1">
      <x:c r="A284" s="12" t="str">
        <x:v>T-180101</x:v>
      </x:c>
      <x:c r="B284" s="12" t="str">
        <x:v>S18</x:v>
      </x:c>
      <x:c r="C284" s="12" t="str">
        <x:v>ST-1801</x:v>
      </x:c>
      <x:c r="D284" s="12" t="str">
        <x:v>NARRATIVE_AGENT</x:v>
      </x:c>
      <x:c r="E284" s="12" t="str">
        <x:v>Viết final dialogue, inspect text và captions H04</x:v>
      </x:c>
      <x:c r="F284" s="12" t="str">
        <x:v>NOT_STARTED</x:v>
      </x:c>
      <x:c r="G284" s="12" t="str">
        <x:v>T-170401, T-170402, T-170403, T-170404</x:v>
      </x:c>
      <x:c r="H284" s="12" t="str">
        <x:v>data/dialogue/ch04/; localization/vi.csv</x:v>
      </x:c>
      <x:c r="I284" s="12" t="str">
        <x:v>ARTIFACT_REVIEW</x:v>
      </x:c>
      <x:c r="J284" s="12" t="str">
        <x:v>M</x:v>
      </x:c>
      <x:c r="K284" s="12" t="str">
        <x:v>reports/tasks/T-180101/evidence.json</x:v>
      </x:c>
      <x:c r="L284" s="12" t="str">
        <x:v>tasks/T-180101.md</x:v>
      </x:c>
      <x:c r="M284" s="12" t="str">
        <x:v>none</x:v>
      </x:c>
    </x:row>
    <x:row r="285" ht="58" customHeight="1">
      <x:c r="A285" s="12" t="str">
        <x:v>T-180102</x:v>
      </x:c>
      <x:c r="B285" s="12" t="str">
        <x:v>S18</x:v>
      </x:c>
      <x:c r="C285" s="12" t="str">
        <x:v>ST-1801</x:v>
      </x:c>
      <x:c r="D285" s="12" t="str">
        <x:v>GAMEPLAY_AGENT</x:v>
      </x:c>
      <x:c r="E285" s="12" t="str">
        <x:v>Ghép trigger diễn xuất và camera focus H04</x:v>
      </x:c>
      <x:c r="F285" s="12" t="str">
        <x:v>NOT_STARTED</x:v>
      </x:c>
      <x:c r="G285" s="12" t="str">
        <x:v>T-170401, T-170402, T-170403, T-170404, T-180101</x:v>
      </x:c>
      <x:c r="H285" s="12" t="str">
        <x:v>data/sequences/ch04/; scenes/levels/ch04/</x:v>
      </x:c>
      <x:c r="I285" s="12" t="str">
        <x:v>ARTIFACT_REVIEW, ENGINE_TEST, RENDERED_RUNTIME</x:v>
      </x:c>
      <x:c r="J285" s="12" t="str">
        <x:v>L</x:v>
      </x:c>
      <x:c r="K285" s="12" t="str">
        <x:v>reports/tasks/T-180102/evidence.json</x:v>
      </x:c>
      <x:c r="L285" s="12" t="str">
        <x:v>tasks/T-180102.md</x:v>
      </x:c>
      <x:c r="M285" s="12" t="str">
        <x:v>none</x:v>
      </x:c>
    </x:row>
    <x:row r="286" ht="58" customHeight="1">
      <x:c r="A286" s="12" t="str">
        <x:v>T-180103</x:v>
      </x:c>
      <x:c r="B286" s="12" t="str">
        <x:v>S18</x:v>
      </x:c>
      <x:c r="C286" s="12" t="str">
        <x:v>ST-1801</x:v>
      </x:c>
      <x:c r="D286" s="12" t="str">
        <x:v>GAMEPLAY_AGENT</x:v>
      </x:c>
      <x:c r="E286" s="12" t="str">
        <x:v>Cấu hình nhịp encounter hoặc nghỉ nhịp H04</x:v>
      </x:c>
      <x:c r="F286" s="12" t="str">
        <x:v>NOT_STARTED</x:v>
      </x:c>
      <x:c r="G286" s="12" t="str">
        <x:v>T-170401, T-170402, T-170403, T-170404, T-180102</x:v>
      </x:c>
      <x:c r="H286" s="12" t="str">
        <x:v>data/encounters/ch04.tres</x:v>
      </x:c>
      <x:c r="I286" s="12" t="str">
        <x:v>ARTIFACT_REVIEW, ENGINE_TEST</x:v>
      </x:c>
      <x:c r="J286" s="12" t="str">
        <x:v>M</x:v>
      </x:c>
      <x:c r="K286" s="12" t="str">
        <x:v>reports/tasks/T-180103/evidence.json</x:v>
      </x:c>
      <x:c r="L286" s="12" t="str">
        <x:v>tasks/T-180103.md</x:v>
      </x:c>
      <x:c r="M286" s="12" t="str">
        <x:v>none</x:v>
      </x:c>
    </x:row>
    <x:row r="287" ht="58" customHeight="1">
      <x:c r="A287" s="12" t="str">
        <x:v>T-180104</x:v>
      </x:c>
      <x:c r="B287" s="12" t="str">
        <x:v>S18</x:v>
      </x:c>
      <x:c r="C287" s="12" t="str">
        <x:v>ST-1801</x:v>
      </x:c>
      <x:c r="D287" s="12" t="str">
        <x:v>GAMEPLAY_AGENT</x:v>
      </x:c>
      <x:c r="E287" s="12" t="str">
        <x:v>Kiểm tra reveal và skip/reload H04</x:v>
      </x:c>
      <x:c r="F287" s="12" t="str">
        <x:v>NOT_STARTED</x:v>
      </x:c>
      <x:c r="G287" s="12" t="str">
        <x:v>T-170401, T-170402, T-170403, T-170404, T-180103</x:v>
      </x:c>
      <x:c r="H287" s="12" t="str">
        <x:v>reports/S18/ch04_narrative.md</x:v>
      </x:c>
      <x:c r="I287" s="12" t="str">
        <x:v>ARTIFACT_REVIEW, ENGINE_TEST</x:v>
      </x:c>
      <x:c r="J287" s="12" t="str">
        <x:v>S</x:v>
      </x:c>
      <x:c r="K287" s="12" t="str">
        <x:v>reports/tasks/T-180104/evidence.json</x:v>
      </x:c>
      <x:c r="L287" s="12" t="str">
        <x:v>tasks/T-180104.md</x:v>
      </x:c>
      <x:c r="M287" s="12" t="str">
        <x:v>none</x:v>
      </x:c>
    </x:row>
    <x:row r="288" ht="58" customHeight="1">
      <x:c r="A288" s="12" t="str">
        <x:v>T-180201</x:v>
      </x:c>
      <x:c r="B288" s="12" t="str">
        <x:v>S18</x:v>
      </x:c>
      <x:c r="C288" s="12" t="str">
        <x:v>ST-1802</x:v>
      </x:c>
      <x:c r="D288" s="12" t="str">
        <x:v>ART_AGENT</x:v>
      </x:c>
      <x:c r="E288" s="12" t="str">
        <x:v>Hoàn thiện material/lighting môi trường H04</x:v>
      </x:c>
      <x:c r="F288" s="12" t="str">
        <x:v>NOT_STARTED</x:v>
      </x:c>
      <x:c r="G288" s="12" t="str">
        <x:v>T-170301, T-170302, T-170303, T-170304, T-180101, T-180102, T-180103, T-180104</x:v>
      </x:c>
      <x:c r="H288" s="12" t="str">
        <x:v>art/export/environment/ch04_final/</x:v>
      </x:c>
      <x:c r="I288" s="12" t="str">
        <x:v>ARTIFACT_REVIEW, RENDERED_RUNTIME</x:v>
      </x:c>
      <x:c r="J288" s="12" t="str">
        <x:v>L</x:v>
      </x:c>
      <x:c r="K288" s="12" t="str">
        <x:v>reports/tasks/T-180201/evidence.json</x:v>
      </x:c>
      <x:c r="L288" s="12" t="str">
        <x:v>tasks/T-180201.md</x:v>
      </x:c>
      <x:c r="M288" s="12" t="str">
        <x:v>none</x:v>
      </x:c>
    </x:row>
    <x:row r="289" ht="58" customHeight="1">
      <x:c r="A289" s="12" t="str">
        <x:v>T-180202</x:v>
      </x:c>
      <x:c r="B289" s="12" t="str">
        <x:v>S18</x:v>
      </x:c>
      <x:c r="C289" s="12" t="str">
        <x:v>ST-1802</x:v>
      </x:c>
      <x:c r="D289" s="12" t="str">
        <x:v>ART_AGENT</x:v>
      </x:c>
      <x:c r="E289" s="12" t="str">
        <x:v>Hoàn thiện props/NPC diễn xuất trọng tâm H04</x:v>
      </x:c>
      <x:c r="F289" s="12" t="str">
        <x:v>NOT_STARTED</x:v>
      </x:c>
      <x:c r="G289" s="12" t="str">
        <x:v>T-170301, T-170302, T-170303, T-170304, T-180101, T-180102, T-180103, T-180104, T-180201</x:v>
      </x:c>
      <x:c r="H289" s="12" t="str">
        <x:v>art/export/characters/ch04/; art/export/props/ch04/</x:v>
      </x:c>
      <x:c r="I289" s="12" t="str">
        <x:v>ARTIFACT_REVIEW, RENDERED_RUNTIME</x:v>
      </x:c>
      <x:c r="J289" s="12" t="str">
        <x:v>L</x:v>
      </x:c>
      <x:c r="K289" s="12" t="str">
        <x:v>reports/tasks/T-180202/evidence.json</x:v>
      </x:c>
      <x:c r="L289" s="12" t="str">
        <x:v>tasks/T-180202.md</x:v>
      </x:c>
      <x:c r="M289" s="12" t="str">
        <x:v>none</x:v>
      </x:c>
    </x:row>
    <x:row r="290" ht="58" customHeight="1">
      <x:c r="A290" s="12" t="str">
        <x:v>T-180203</x:v>
      </x:c>
      <x:c r="B290" s="12" t="str">
        <x:v>S18</x:v>
      </x:c>
      <x:c r="C290" s="12" t="str">
        <x:v>ST-1802</x:v>
      </x:c>
      <x:c r="D290" s="12" t="str">
        <x:v>ART_AGENT</x:v>
      </x:c>
      <x:c r="E290" s="12" t="str">
        <x:v>Set dress và kiểm tra silhouette H04</x:v>
      </x:c>
      <x:c r="F290" s="12" t="str">
        <x:v>NOT_STARTED</x:v>
      </x:c>
      <x:c r="G290" s="12" t="str">
        <x:v>T-170301, T-170302, T-170303, T-170304, T-180101, T-180102, T-180103, T-180104, T-180202</x:v>
      </x:c>
      <x:c r="H290" s="12" t="str">
        <x:v>art/lighting/ch04/</x:v>
      </x:c>
      <x:c r="I290" s="12" t="str">
        <x:v>ARTIFACT_REVIEW, RENDERED_RUNTIME</x:v>
      </x:c>
      <x:c r="J290" s="12" t="str">
        <x:v>L</x:v>
      </x:c>
      <x:c r="K290" s="12" t="str">
        <x:v>reports/tasks/T-180203/evidence.json</x:v>
      </x:c>
      <x:c r="L290" s="12" t="str">
        <x:v>tasks/T-180203.md</x:v>
      </x:c>
      <x:c r="M290" s="12" t="str">
        <x:v>none</x:v>
      </x:c>
    </x:row>
    <x:row r="291" ht="58" customHeight="1">
      <x:c r="A291" s="12" t="str">
        <x:v>T-180204</x:v>
      </x:c>
      <x:c r="B291" s="12" t="str">
        <x:v>S18</x:v>
      </x:c>
      <x:c r="C291" s="12" t="str">
        <x:v>ST-1802</x:v>
      </x:c>
      <x:c r="D291" s="12" t="str">
        <x:v>GAMEPLAY_AGENT</x:v>
      </x:c>
      <x:c r="E291" s="12" t="str">
        <x:v>Ghép asset final và khóa phiên bản H04</x:v>
      </x:c>
      <x:c r="F291" s="12" t="str">
        <x:v>NOT_STARTED</x:v>
      </x:c>
      <x:c r="G291" s="12" t="str">
        <x:v>T-170301, T-170302, T-170303, T-170304, T-180101, T-180102, T-180103, T-180104, T-180203</x:v>
      </x:c>
      <x:c r="H291" s="12" t="str">
        <x:v>reports/S18/ch04_art_signoff.md</x:v>
      </x:c>
      <x:c r="I291" s="12" t="str">
        <x:v>ARTIFACT_REVIEW, ENGINE_TEST</x:v>
      </x:c>
      <x:c r="J291" s="12" t="str">
        <x:v>M</x:v>
      </x:c>
      <x:c r="K291" s="12" t="str">
        <x:v>reports/tasks/T-180204/evidence.json</x:v>
      </x:c>
      <x:c r="L291" s="12" t="str">
        <x:v>tasks/T-180204.md</x:v>
      </x:c>
      <x:c r="M291" s="12" t="str">
        <x:v>none</x:v>
      </x:c>
    </x:row>
    <x:row r="292" ht="58" customHeight="1">
      <x:c r="A292" s="12" t="str">
        <x:v>T-180301</x:v>
      </x:c>
      <x:c r="B292" s="12" t="str">
        <x:v>S18</x:v>
      </x:c>
      <x:c r="C292" s="12" t="str">
        <x:v>ST-1803</x:v>
      </x:c>
      <x:c r="D292" s="12" t="str">
        <x:v>AUDIO_AGENT</x:v>
      </x:c>
      <x:c r="E292" s="12" t="str">
        <x:v>Tạo ambience và cue đặc trưng H04</x:v>
      </x:c>
      <x:c r="F292" s="12" t="str">
        <x:v>NOT_STARTED</x:v>
      </x:c>
      <x:c r="G292" s="12" t="str">
        <x:v>T-180101, T-180102, T-180103, T-180104</x:v>
      </x:c>
      <x:c r="H292" s="12" t="str">
        <x:v>audio/ambience/ch04/; audio/cue_sheets/ch04.csv</x:v>
      </x:c>
      <x:c r="I292" s="12" t="str">
        <x:v>ARTIFACT_REVIEW, AUDIO_REVIEW</x:v>
      </x:c>
      <x:c r="J292" s="12" t="str">
        <x:v>L</x:v>
      </x:c>
      <x:c r="K292" s="12" t="str">
        <x:v>reports/tasks/T-180301/evidence.json</x:v>
      </x:c>
      <x:c r="L292" s="12" t="str">
        <x:v>tasks/T-180301.md</x:v>
      </x:c>
      <x:c r="M292" s="12" t="str">
        <x:v>none</x:v>
      </x:c>
    </x:row>
    <x:row r="293" ht="58" customHeight="1">
      <x:c r="A293" s="12" t="str">
        <x:v>T-180302</x:v>
      </x:c>
      <x:c r="B293" s="12" t="str">
        <x:v>S18</x:v>
      </x:c>
      <x:c r="C293" s="12" t="str">
        <x:v>ST-1803</x:v>
      </x:c>
      <x:c r="D293" s="12" t="str">
        <x:v>AUDIO_AGENT</x:v>
      </x:c>
      <x:c r="E293" s="12" t="str">
        <x:v>Tạo/chỉnh music stem và interaction SFX H04</x:v>
      </x:c>
      <x:c r="F293" s="12" t="str">
        <x:v>NOT_STARTED</x:v>
      </x:c>
      <x:c r="G293" s="12" t="str">
        <x:v>T-180101, T-180102, T-180103, T-180104, T-180301</x:v>
      </x:c>
      <x:c r="H293" s="12" t="str">
        <x:v>audio/music/ch04/; audio/sfx/ch04/</x:v>
      </x:c>
      <x:c r="I293" s="12" t="str">
        <x:v>ARTIFACT_REVIEW, AUDIO_REVIEW</x:v>
      </x:c>
      <x:c r="J293" s="12" t="str">
        <x:v>L</x:v>
      </x:c>
      <x:c r="K293" s="12" t="str">
        <x:v>reports/tasks/T-180302/evidence.json</x:v>
      </x:c>
      <x:c r="L293" s="12" t="str">
        <x:v>tasks/T-180302.md</x:v>
      </x:c>
      <x:c r="M293" s="12" t="str">
        <x:v>none</x:v>
      </x:c>
    </x:row>
    <x:row r="294" ht="58" customHeight="1">
      <x:c r="A294" s="12" t="str">
        <x:v>T-180303</x:v>
      </x:c>
      <x:c r="B294" s="12" t="str">
        <x:v>S18</x:v>
      </x:c>
      <x:c r="C294" s="12" t="str">
        <x:v>ST-1803</x:v>
      </x:c>
      <x:c r="D294" s="12" t="str">
        <x:v>GAMEPLAY_AGENT</x:v>
      </x:c>
      <x:c r="E294" s="12" t="str">
        <x:v>Ghép audio transitions và captions H04</x:v>
      </x:c>
      <x:c r="F294" s="12" t="str">
        <x:v>NOT_STARTED</x:v>
      </x:c>
      <x:c r="G294" s="12" t="str">
        <x:v>T-180101, T-180102, T-180103, T-180104, T-180302</x:v>
      </x:c>
      <x:c r="H294" s="12" t="str">
        <x:v>scenes/levels/ch04/; localization/captions.csv</x:v>
      </x:c>
      <x:c r="I294" s="12" t="str">
        <x:v>ARTIFACT_REVIEW, ENGINE_TEST</x:v>
      </x:c>
      <x:c r="J294" s="12" t="str">
        <x:v>L</x:v>
      </x:c>
      <x:c r="K294" s="12" t="str">
        <x:v>reports/tasks/T-180303/evidence.json</x:v>
      </x:c>
      <x:c r="L294" s="12" t="str">
        <x:v>tasks/T-180303.md</x:v>
      </x:c>
      <x:c r="M294" s="12" t="str">
        <x:v>none</x:v>
      </x:c>
    </x:row>
    <x:row r="295" ht="58" customHeight="1">
      <x:c r="A295" s="12" t="str">
        <x:v>T-180304</x:v>
      </x:c>
      <x:c r="B295" s="12" t="str">
        <x:v>S18</x:v>
      </x:c>
      <x:c r="C295" s="12" t="str">
        <x:v>ST-1803</x:v>
      </x:c>
      <x:c r="D295" s="12" t="str">
        <x:v>QA_AGENT</x:v>
      </x:c>
      <x:c r="E295" s="12" t="str">
        <x:v>Test mute/mix/pause trong H04</x:v>
      </x:c>
      <x:c r="F295" s="12" t="str">
        <x:v>NOT_STARTED</x:v>
      </x:c>
      <x:c r="G295" s="12" t="str">
        <x:v>T-180101, T-180102, T-180103, T-180104, T-180303</x:v>
      </x:c>
      <x:c r="H295" s="12" t="str">
        <x:v>reports/S18/ch04_audio.md</x:v>
      </x:c>
      <x:c r="I295" s="12" t="str">
        <x:v>ARTIFACT_REVIEW, ENGINE_TEST, RENDERED_RUNTIME</x:v>
      </x:c>
      <x:c r="J295" s="12" t="str">
        <x:v>S</x:v>
      </x:c>
      <x:c r="K295" s="12" t="str">
        <x:v>reports/tasks/T-180304/evidence.json</x:v>
      </x:c>
      <x:c r="L295" s="12" t="str">
        <x:v>tasks/T-180304.md</x:v>
      </x:c>
      <x:c r="M295" s="12" t="str">
        <x:v>none</x:v>
      </x:c>
    </x:row>
    <x:row r="296" ht="58" customHeight="1">
      <x:c r="A296" s="12" t="str">
        <x:v>T-180401</x:v>
      </x:c>
      <x:c r="B296" s="12" t="str">
        <x:v>S18</x:v>
      </x:c>
      <x:c r="C296" s="12" t="str">
        <x:v>ST-1804</x:v>
      </x:c>
      <x:c r="D296" s="12" t="str">
        <x:v>QA_AGENT</x:v>
      </x:c>
      <x:c r="E296" s="12" t="str">
        <x:v>Chạy puzzle/save/phase matrix H04</x:v>
      </x:c>
      <x:c r="F296" s="12" t="str">
        <x:v>NOT_STARTED</x:v>
      </x:c>
      <x:c r="G296" s="12" t="str">
        <x:v>T-180101, T-180102, T-180103, T-180104, T-180201, T-180202, T-180203, T-180204, T-180301, T-180302, T-180303, T-180304</x:v>
      </x:c>
      <x:c r="H296" s="12" t="str">
        <x:v>reports/S18/ch04_regression.csv</x:v>
      </x:c>
      <x:c r="I296" s="12" t="str">
        <x:v>ARTIFACT_REVIEW, ENGINE_TEST, RENDERED_RUNTIME</x:v>
      </x:c>
      <x:c r="J296" s="12" t="str">
        <x:v>L</x:v>
      </x:c>
      <x:c r="K296" s="12" t="str">
        <x:v>reports/tasks/T-180401/evidence.json</x:v>
      </x:c>
      <x:c r="L296" s="12" t="str">
        <x:v>tasks/T-180401.md</x:v>
      </x:c>
      <x:c r="M296" s="12" t="str">
        <x:v>none</x:v>
      </x:c>
    </x:row>
    <x:row r="297" ht="58" customHeight="1">
      <x:c r="A297" s="12" t="str">
        <x:v>T-180402</x:v>
      </x:c>
      <x:c r="B297" s="12" t="str">
        <x:v>S18</x:v>
      </x:c>
      <x:c r="C297" s="12" t="str">
        <x:v>ST-1804</x:v>
      </x:c>
      <x:c r="D297" s="12" t="str">
        <x:v>QA_AGENT</x:v>
      </x:c>
      <x:c r="E297" s="12" t="str">
        <x:v>Test ngoài nhóm và quan sát đường chơi H04</x:v>
      </x:c>
      <x:c r="F297" s="12" t="str">
        <x:v>NOT_STARTED</x:v>
      </x:c>
      <x:c r="G297" s="12" t="str">
        <x:v>T-180101, T-180102, T-180103, T-180104, T-180201, T-180202, T-180203, T-180204, T-180301, T-180302, T-180303, T-180304, T-180401</x:v>
      </x:c>
      <x:c r="H297" s="12" t="str">
        <x:v>reports/S18/ch04_playtest.md</x:v>
      </x:c>
      <x:c r="I297" s="12" t="str">
        <x:v>ARTIFACT_REVIEW, ENGINE_TEST, RENDERED_RUNTIME</x:v>
      </x:c>
      <x:c r="J297" s="12" t="str">
        <x:v>L</x:v>
      </x:c>
      <x:c r="K297" s="12" t="str">
        <x:v>reports/tasks/T-180402/evidence.json</x:v>
      </x:c>
      <x:c r="L297" s="12" t="str">
        <x:v>tasks/T-180402.md</x:v>
      </x:c>
      <x:c r="M297" s="12" t="str">
        <x:v>none</x:v>
      </x:c>
    </x:row>
    <x:row r="298" ht="58" customHeight="1">
      <x:c r="A298" s="12" t="str">
        <x:v>T-180403</x:v>
      </x:c>
      <x:c r="B298" s="12" t="str">
        <x:v>S18</x:v>
      </x:c>
      <x:c r="C298" s="12" t="str">
        <x:v>ST-1804</x:v>
      </x:c>
      <x:c r="D298" s="12" t="str">
        <x:v>QA_AGENT</x:v>
      </x:c>
      <x:c r="E298" s="12" t="str">
        <x:v>Sửa blocker/hint/camera trọng tâm H04</x:v>
      </x:c>
      <x:c r="F298" s="12" t="str">
        <x:v>NOT_STARTED</x:v>
      </x:c>
      <x:c r="G298" s="12" t="str">
        <x:v>T-180101, T-180102, T-180103, T-180104, T-180201, T-180202, T-180203, T-180204, T-180301, T-180302, T-180303, T-180304, T-180402</x:v>
      </x:c>
      <x:c r="H298" s="12" t="str">
        <x:v>reports/S18/ch04_retest.md</x:v>
      </x:c>
      <x:c r="I298" s="12" t="str">
        <x:v>ARTIFACT_REVIEW, ENGINE_TEST, RENDERED_RUNTIME</x:v>
      </x:c>
      <x:c r="J298" s="12" t="str">
        <x:v>L</x:v>
      </x:c>
      <x:c r="K298" s="12" t="str">
        <x:v>reports/tasks/T-180403/evidence.json</x:v>
      </x:c>
      <x:c r="L298" s="12" t="str">
        <x:v>tasks/T-180403.md</x:v>
      </x:c>
      <x:c r="M298" s="12" t="str">
        <x:v>none</x:v>
      </x:c>
    </x:row>
    <x:row r="299" ht="58" customHeight="1">
      <x:c r="A299" s="12" t="str">
        <x:v>T-180404</x:v>
      </x:c>
      <x:c r="B299" s="12" t="str">
        <x:v>S18</x:v>
      </x:c>
      <x:c r="C299" s="12" t="str">
        <x:v>ST-1804</x:v>
      </x:c>
      <x:c r="D299" s="12" t="str">
        <x:v>QA_AGENT</x:v>
      </x:c>
      <x:c r="E299" s="12" t="str">
        <x:v>Test lại từ hub xuyên hai chapter gần nhất</x:v>
      </x:c>
      <x:c r="F299" s="12" t="str">
        <x:v>NOT_STARTED</x:v>
      </x:c>
      <x:c r="G299" s="12" t="str">
        <x:v>T-180101, T-180102, T-180103, T-180104, T-180201, T-180202, T-180203, T-180204, T-180301, T-180302, T-180303, T-180304, T-180403</x:v>
      </x:c>
      <x:c r="H299" s="12" t="str">
        <x:v>reports/S18/cross_chapter.md</x:v>
      </x:c>
      <x:c r="I299" s="12" t="str">
        <x:v>ARTIFACT_REVIEW, ENGINE_TEST, RENDERED_RUNTIME</x:v>
      </x:c>
      <x:c r="J299" s="12" t="str">
        <x:v>L</x:v>
      </x:c>
      <x:c r="K299" s="12" t="str">
        <x:v>reports/tasks/T-180404/evidence.json</x:v>
      </x:c>
      <x:c r="L299" s="12" t="str">
        <x:v>tasks/T-180404.md</x:v>
      </x:c>
      <x:c r="M299" s="12" t="str">
        <x:v>none</x:v>
      </x:c>
    </x:row>
    <x:row r="300" ht="58" customHeight="1">
      <x:c r="A300" s="12" t="str">
        <x:v>T-180405</x:v>
      </x:c>
      <x:c r="B300" s="12" t="str">
        <x:v>S18</x:v>
      </x:c>
      <x:c r="C300" s="12" t="str">
        <x:v>ST-1804</x:v>
      </x:c>
      <x:c r="D300" s="12" t="str">
        <x:v>GAMEPLAY_AGENT</x:v>
      </x:c>
      <x:c r="E300" s="12" t="str">
        <x:v>Duyệt chapter DoD và đánh giá lại đường găng</x:v>
      </x:c>
      <x:c r="F300" s="12" t="str">
        <x:v>NOT_STARTED</x:v>
      </x:c>
      <x:c r="G300" s="12" t="str">
        <x:v>T-180101, T-180102, T-180103, T-180104, T-180201, T-180202, T-180203, T-180204, T-180301, T-180302, T-180303, T-180304, T-180404</x:v>
      </x:c>
      <x:c r="H300" s="12" t="str">
        <x:v>reports/S18/ch04_signoff.md</x:v>
      </x:c>
      <x:c r="I300" s="12" t="str">
        <x:v>ARTIFACT_REVIEW, ENGINE_TEST</x:v>
      </x:c>
      <x:c r="J300" s="12" t="str">
        <x:v>S</x:v>
      </x:c>
      <x:c r="K300" s="12" t="str">
        <x:v>reports/tasks/T-180405/evidence.json</x:v>
      </x:c>
      <x:c r="L300" s="12" t="str">
        <x:v>tasks/T-180405.md</x:v>
      </x:c>
      <x:c r="M300" s="12" t="str">
        <x:v>none</x:v>
      </x:c>
    </x:row>
    <x:row r="301" ht="58" customHeight="1">
      <x:c r="A301" s="12" t="str">
        <x:v>T-190101</x:v>
      </x:c>
      <x:c r="B301" s="12" t="str">
        <x:v>S19</x:v>
      </x:c>
      <x:c r="C301" s="12" t="str">
        <x:v>ST-1901</x:v>
      </x:c>
      <x:c r="D301" s="12" t="str">
        <x:v>GAMEPLAY_AGENT</x:v>
      </x:c>
      <x:c r="E301" s="12" t="str">
        <x:v>Viết beat sheet, route graph và reveal cho H05</x:v>
      </x:c>
      <x:c r="F301" s="12" t="str">
        <x:v>NOT_STARTED</x:v>
      </x:c>
      <x:c r="G301" s="12" t="str">
        <x:v>T-180401, T-180402, T-180403, T-180404, T-180405</x:v>
      </x:c>
      <x:c r="H301" s="12" t="str">
        <x:v>docs/chapters/ch05.md</x:v>
      </x:c>
      <x:c r="I301" s="12" t="str">
        <x:v>ARTIFACT_REVIEW, ENGINE_TEST</x:v>
      </x:c>
      <x:c r="J301" s="12" t="str">
        <x:v>M</x:v>
      </x:c>
      <x:c r="K301" s="12" t="str">
        <x:v>reports/tasks/T-190101/evidence.json</x:v>
      </x:c>
      <x:c r="L301" s="12" t="str">
        <x:v>tasks/T-190101.md</x:v>
      </x:c>
      <x:c r="M301" s="12" t="str">
        <x:v>none</x:v>
      </x:c>
    </x:row>
    <x:row r="302" ht="58" customHeight="1">
      <x:c r="A302" s="12" t="str">
        <x:v>T-190102</x:v>
      </x:c>
      <x:c r="B302" s="12" t="str">
        <x:v>S19</x:v>
      </x:c>
      <x:c r="C302" s="12" t="str">
        <x:v>ST-1901</x:v>
      </x:c>
      <x:c r="D302" s="12" t="str">
        <x:v>NARRATIVE_AGENT</x:v>
      </x:c>
      <x:c r="E302" s="12" t="str">
        <x:v>Blockout H05 / phòng nhật ký / sân ký ức</x:v>
      </x:c>
      <x:c r="F302" s="12" t="str">
        <x:v>NOT_STARTED</x:v>
      </x:c>
      <x:c r="G302" s="12" t="str">
        <x:v>T-180401, T-180402, T-180403, T-180404, T-180405, T-190101</x:v>
      </x:c>
      <x:c r="H302" s="12" t="str">
        <x:v>scenes/levels/ch05/ch05_level.tscn</x:v>
      </x:c>
      <x:c r="I302" s="12" t="str">
        <x:v>ARTIFACT_REVIEW</x:v>
      </x:c>
      <x:c r="J302" s="12" t="str">
        <x:v>L</x:v>
      </x:c>
      <x:c r="K302" s="12" t="str">
        <x:v>reports/tasks/T-190102/evidence.json</x:v>
      </x:c>
      <x:c r="L302" s="12" t="str">
        <x:v>tasks/T-190102.md</x:v>
      </x:c>
      <x:c r="M302" s="12" t="str">
        <x:v>none</x:v>
      </x:c>
    </x:row>
    <x:row r="303" ht="58" customHeight="1">
      <x:c r="A303" s="12" t="str">
        <x:v>T-190103</x:v>
      </x:c>
      <x:c r="B303" s="12" t="str">
        <x:v>S19</x:v>
      </x:c>
      <x:c r="C303" s="12" t="str">
        <x:v>ST-1901</x:v>
      </x:c>
      <x:c r="D303" s="12" t="str">
        <x:v>GAMEPLAY_AGENT</x:v>
      </x:c>
      <x:c r="E303" s="12" t="str">
        <x:v>Gắn ChapterManifest, house erasure và hub exits H05</x:v>
      </x:c>
      <x:c r="F303" s="12" t="str">
        <x:v>NOT_STARTED</x:v>
      </x:c>
      <x:c r="G303" s="12" t="str">
        <x:v>T-180401, T-180402, T-180403, T-180404, T-180405, T-190102</x:v>
      </x:c>
      <x:c r="H303" s="12" t="str">
        <x:v>data/chapters/ch05.tres</x:v>
      </x:c>
      <x:c r="I303" s="12" t="str">
        <x:v>ARTIFACT_REVIEW, ENGINE_TEST</x:v>
      </x:c>
      <x:c r="J303" s="12" t="str">
        <x:v>M</x:v>
      </x:c>
      <x:c r="K303" s="12" t="str">
        <x:v>reports/tasks/T-190103/evidence.json</x:v>
      </x:c>
      <x:c r="L303" s="12" t="str">
        <x:v>tasks/T-190103.md</x:v>
      </x:c>
      <x:c r="M303" s="12" t="str">
        <x:v>none</x:v>
      </x:c>
    </x:row>
    <x:row r="304" ht="58" customHeight="1">
      <x:c r="A304" s="12" t="str">
        <x:v>T-190104</x:v>
      </x:c>
      <x:c r="B304" s="12" t="str">
        <x:v>S19</x:v>
      </x:c>
      <x:c r="C304" s="12" t="str">
        <x:v>ST-1901</x:v>
      </x:c>
      <x:c r="D304" s="12" t="str">
        <x:v>QA_AGENT</x:v>
      </x:c>
      <x:c r="E304" s="12" t="str">
        <x:v>Test load checkpoint và đi lại trong H05</x:v>
      </x:c>
      <x:c r="F304" s="12" t="str">
        <x:v>NOT_STARTED</x:v>
      </x:c>
      <x:c r="G304" s="12" t="str">
        <x:v>T-180401, T-180402, T-180403, T-180404, T-180405, T-190103</x:v>
      </x:c>
      <x:c r="H304" s="12" t="str">
        <x:v>reports/S19/ch05_traversal.md</x:v>
      </x:c>
      <x:c r="I304" s="12" t="str">
        <x:v>ARTIFACT_REVIEW, ENGINE_TEST, RENDERED_RUNTIME</x:v>
      </x:c>
      <x:c r="J304" s="12" t="str">
        <x:v>S</x:v>
      </x:c>
      <x:c r="K304" s="12" t="str">
        <x:v>reports/tasks/T-190104/evidence.json</x:v>
      </x:c>
      <x:c r="L304" s="12" t="str">
        <x:v>tasks/T-190104.md</x:v>
      </x:c>
      <x:c r="M304" s="12" t="str">
        <x:v>none</x:v>
      </x:c>
    </x:row>
    <x:row r="305" ht="58" customHeight="1">
      <x:c r="A305" s="12" t="str">
        <x:v>T-190201</x:v>
      </x:c>
      <x:c r="B305" s="12" t="str">
        <x:v>S19</x:v>
      </x:c>
      <x:c r="C305" s="12" t="str">
        <x:v>ST-1902</x:v>
      </x:c>
      <x:c r="D305" s="12" t="str">
        <x:v>GAMEPLAY_AGENT</x:v>
      </x:c>
      <x:c r="E305" s="12" t="str">
        <x:v>Đặc tả state graph và hint của P17</x:v>
      </x:c>
      <x:c r="F305" s="12" t="str">
        <x:v>NOT_STARTED</x:v>
      </x:c>
      <x:c r="G305" s="12" t="str">
        <x:v>T-190101, T-190102, T-190103, T-190104</x:v>
      </x:c>
      <x:c r="H305" s="12" t="str">
        <x:v>docs/puzzles/P17.md</x:v>
      </x:c>
      <x:c r="I305" s="12" t="str">
        <x:v>ARTIFACT_REVIEW, ENGINE_TEST</x:v>
      </x:c>
      <x:c r="J305" s="12" t="str">
        <x:v>M</x:v>
      </x:c>
      <x:c r="K305" s="12" t="str">
        <x:v>reports/tasks/T-190201/evidence.json</x:v>
      </x:c>
      <x:c r="L305" s="12" t="str">
        <x:v>tasks/T-190201.md</x:v>
      </x:c>
      <x:c r="M305" s="12" t="str">
        <x:v>none</x:v>
      </x:c>
    </x:row>
    <x:row r="306" ht="58" customHeight="1">
      <x:c r="A306" s="12" t="str">
        <x:v>T-190202</x:v>
      </x:c>
      <x:c r="B306" s="12" t="str">
        <x:v>S19</x:v>
      </x:c>
      <x:c r="C306" s="12" t="str">
        <x:v>ST-1902</x:v>
      </x:c>
      <x:c r="D306" s="12" t="str">
        <x:v>GAMEPLAY_AGENT</x:v>
      </x:c>
      <x:c r="E306" s="12" t="str">
        <x:v>Implement tương tác và điều kiện P17</x:v>
      </x:c>
      <x:c r="F306" s="12" t="str">
        <x:v>NOT_STARTED</x:v>
      </x:c>
      <x:c r="G306" s="12" t="str">
        <x:v>T-190101, T-190102, T-190103, T-190104, T-190201</x:v>
      </x:c>
      <x:c r="H306" s="12" t="str">
        <x:v>data/puzzles/P17.tres; scenes/puzzles/P17.tscn</x:v>
      </x:c>
      <x:c r="I306" s="12" t="str">
        <x:v>ARTIFACT_REVIEW, ENGINE_TEST</x:v>
      </x:c>
      <x:c r="J306" s="12" t="str">
        <x:v>L</x:v>
      </x:c>
      <x:c r="K306" s="12" t="str">
        <x:v>reports/tasks/T-190202/evidence.json</x:v>
      </x:c>
      <x:c r="L306" s="12" t="str">
        <x:v>tasks/T-190202.md</x:v>
      </x:c>
      <x:c r="M306" s="12" t="str">
        <x:v>none</x:v>
      </x:c>
    </x:row>
    <x:row r="307" ht="58" customHeight="1">
      <x:c r="A307" s="12" t="str">
        <x:v>T-190203</x:v>
      </x:c>
      <x:c r="B307" s="12" t="str">
        <x:v>S19</x:v>
      </x:c>
      <x:c r="C307" s="12" t="str">
        <x:v>ST-1902</x:v>
      </x:c>
      <x:c r="D307" s="12" t="str">
        <x:v>GAMEPLAY_AGENT</x:v>
      </x:c>
      <x:c r="E307" s="12" t="str">
        <x:v>Ghép clue/reward và feedback của P17</x:v>
      </x:c>
      <x:c r="F307" s="12" t="str">
        <x:v>NOT_STARTED</x:v>
      </x:c>
      <x:c r="G307" s="12" t="str">
        <x:v>T-190101, T-190102, T-190103, T-190104, T-190202</x:v>
      </x:c>
      <x:c r="H307" s="12" t="str">
        <x:v>data/evidence/H05/; data/hints/ch05.tres</x:v>
      </x:c>
      <x:c r="I307" s="12" t="str">
        <x:v>ARTIFACT_REVIEW, ENGINE_TEST</x:v>
      </x:c>
      <x:c r="J307" s="12" t="str">
        <x:v>M</x:v>
      </x:c>
      <x:c r="K307" s="12" t="str">
        <x:v>reports/tasks/T-190203/evidence.json</x:v>
      </x:c>
      <x:c r="L307" s="12" t="str">
        <x:v>tasks/T-190203.md</x:v>
      </x:c>
      <x:c r="M307" s="12" t="str">
        <x:v>none</x:v>
      </x:c>
    </x:row>
    <x:row r="308" ht="58" customHeight="1">
      <x:c r="A308" s="12" t="str">
        <x:v>T-190204</x:v>
      </x:c>
      <x:c r="B308" s="12" t="str">
        <x:v>S19</x:v>
      </x:c>
      <x:c r="C308" s="12" t="str">
        <x:v>ST-1902</x:v>
      </x:c>
      <x:c r="D308" s="12" t="str">
        <x:v>QA_AGENT</x:v>
      </x:c>
      <x:c r="E308" s="12" t="str">
        <x:v>Test lời giải sai/đúng/reload P17</x:v>
      </x:c>
      <x:c r="F308" s="12" t="str">
        <x:v>NOT_STARTED</x:v>
      </x:c>
      <x:c r="G308" s="12" t="str">
        <x:v>T-190101, T-190102, T-190103, T-190104, T-190203</x:v>
      </x:c>
      <x:c r="H308" s="12" t="str">
        <x:v>reports/S19/P17_tests.md</x:v>
      </x:c>
      <x:c r="I308" s="12" t="str">
        <x:v>ARTIFACT_REVIEW, ENGINE_TEST, RENDERED_RUNTIME</x:v>
      </x:c>
      <x:c r="J308" s="12" t="str">
        <x:v>S</x:v>
      </x:c>
      <x:c r="K308" s="12" t="str">
        <x:v>reports/tasks/T-190204/evidence.json</x:v>
      </x:c>
      <x:c r="L308" s="12" t="str">
        <x:v>tasks/T-190204.md</x:v>
      </x:c>
      <x:c r="M308" s="12" t="str">
        <x:v>none</x:v>
      </x:c>
    </x:row>
    <x:row r="309" ht="58" customHeight="1">
      <x:c r="A309" s="12" t="str">
        <x:v>T-190301</x:v>
      </x:c>
      <x:c r="B309" s="12" t="str">
        <x:v>S19</x:v>
      </x:c>
      <x:c r="C309" s="12" t="str">
        <x:v>ST-1903</x:v>
      </x:c>
      <x:c r="D309" s="12" t="str">
        <x:v>ART_AGENT</x:v>
      </x:c>
      <x:c r="E309" s="12" t="str">
        <x:v>Dựng layout art từ greybox H05</x:v>
      </x:c>
      <x:c r="F309" s="12" t="str">
        <x:v>NOT_STARTED</x:v>
      </x:c>
      <x:c r="G309" s="12" t="str">
        <x:v>T-110301, T-110302, T-110303, T-110304, T-190101, T-190102, T-190103, T-190104</x:v>
      </x:c>
      <x:c r="H309" s="12" t="str">
        <x:v>art/source/ch05_layout.blend</x:v>
      </x:c>
      <x:c r="I309" s="12" t="str">
        <x:v>ARTIFACT_REVIEW, RENDERED_RUNTIME</x:v>
      </x:c>
      <x:c r="J309" s="12" t="str">
        <x:v>L</x:v>
      </x:c>
      <x:c r="K309" s="12" t="str">
        <x:v>reports/tasks/T-190301/evidence.json</x:v>
      </x:c>
      <x:c r="L309" s="12" t="str">
        <x:v>tasks/T-190301.md</x:v>
      </x:c>
      <x:c r="M309" s="12" t="str">
        <x:v>none</x:v>
      </x:c>
    </x:row>
    <x:row r="310" ht="58" customHeight="1">
      <x:c r="A310" s="12" t="str">
        <x:v>T-190302</x:v>
      </x:c>
      <x:c r="B310" s="12" t="str">
        <x:v>S19</x:v>
      </x:c>
      <x:c r="C310" s="12" t="str">
        <x:v>ST-1903</x:v>
      </x:c>
      <x:c r="D310" s="12" t="str">
        <x:v>ART_AGENT</x:v>
      </x:c>
      <x:c r="E310" s="12" t="str">
        <x:v>Dựng nhóm prop puzzle P17/P18</x:v>
      </x:c>
      <x:c r="F310" s="12" t="str">
        <x:v>NOT_STARTED</x:v>
      </x:c>
      <x:c r="G310" s="12" t="str">
        <x:v>T-110301, T-110302, T-110303, T-110304, T-190101, T-190102, T-190103, T-190104, T-190301</x:v>
      </x:c>
      <x:c r="H310" s="12" t="str">
        <x:v>art/export/props/ch05/</x:v>
      </x:c>
      <x:c r="I310" s="12" t="str">
        <x:v>ARTIFACT_REVIEW, RENDERED_RUNTIME</x:v>
      </x:c>
      <x:c r="J310" s="12" t="str">
        <x:v>L</x:v>
      </x:c>
      <x:c r="K310" s="12" t="str">
        <x:v>reports/tasks/T-190302/evidence.json</x:v>
      </x:c>
      <x:c r="L310" s="12" t="str">
        <x:v>tasks/T-190302.md</x:v>
      </x:c>
      <x:c r="M310" s="12" t="str">
        <x:v>none</x:v>
      </x:c>
    </x:row>
    <x:row r="311" ht="58" customHeight="1">
      <x:c r="A311" s="12" t="str">
        <x:v>T-190303</x:v>
      </x:c>
      <x:c r="B311" s="12" t="str">
        <x:v>S19</x:v>
      </x:c>
      <x:c r="C311" s="12" t="str">
        <x:v>ST-1903</x:v>
      </x:c>
      <x:c r="D311" s="12" t="str">
        <x:v>ART_AGENT</x:v>
      </x:c>
      <x:c r="E311" s="12" t="str">
        <x:v>Chuẩn bị variant REAL/ERASED cho H05</x:v>
      </x:c>
      <x:c r="F311" s="12" t="str">
        <x:v>NOT_STARTED</x:v>
      </x:c>
      <x:c r="G311" s="12" t="str">
        <x:v>T-110301, T-110302, T-110303, T-110304, T-190101, T-190102, T-190103, T-190104, T-190302</x:v>
      </x:c>
      <x:c r="H311" s="12" t="str">
        <x:v>art/export/environment/ch05/</x:v>
      </x:c>
      <x:c r="I311" s="12" t="str">
        <x:v>ARTIFACT_REVIEW, RENDERED_RUNTIME</x:v>
      </x:c>
      <x:c r="J311" s="12" t="str">
        <x:v>L</x:v>
      </x:c>
      <x:c r="K311" s="12" t="str">
        <x:v>reports/tasks/T-190303/evidence.json</x:v>
      </x:c>
      <x:c r="L311" s="12" t="str">
        <x:v>tasks/T-190303.md</x:v>
      </x:c>
      <x:c r="M311" s="12" t="str">
        <x:v>none</x:v>
      </x:c>
    </x:row>
    <x:row r="312" ht="58" customHeight="1">
      <x:c r="A312" s="12" t="str">
        <x:v>T-190304</x:v>
      </x:c>
      <x:c r="B312" s="12" t="str">
        <x:v>S19</x:v>
      </x:c>
      <x:c r="C312" s="12" t="str">
        <x:v>ST-1903</x:v>
      </x:c>
      <x:c r="D312" s="12" t="str">
        <x:v>ORCHESTRATOR</x:v>
      </x:c>
      <x:c r="E312" s="12" t="str">
        <x:v>Import art đầu và kiểm tra collision H05</x:v>
      </x:c>
      <x:c r="F312" s="12" t="str">
        <x:v>NOT_STARTED</x:v>
      </x:c>
      <x:c r="G312" s="12" t="str">
        <x:v>T-110301, T-110302, T-110303, T-110304, T-190101, T-190102, T-190103, T-190104, T-190303</x:v>
      </x:c>
      <x:c r="H312" s="12" t="str">
        <x:v>reports/S19/ch05_asset_review.md</x:v>
      </x:c>
      <x:c r="I312" s="12" t="str">
        <x:v>ARTIFACT_REVIEW</x:v>
      </x:c>
      <x:c r="J312" s="12" t="str">
        <x:v>M</x:v>
      </x:c>
      <x:c r="K312" s="12" t="str">
        <x:v>reports/tasks/T-190304/evidence.json</x:v>
      </x:c>
      <x:c r="L312" s="12" t="str">
        <x:v>tasks/T-190304.md</x:v>
      </x:c>
      <x:c r="M312" s="12" t="str">
        <x:v>none</x:v>
      </x:c>
    </x:row>
    <x:row r="313" ht="58" customHeight="1">
      <x:c r="A313" s="12" t="str">
        <x:v>T-190401</x:v>
      </x:c>
      <x:c r="B313" s="12" t="str">
        <x:v>S19</x:v>
      </x:c>
      <x:c r="C313" s="12" t="str">
        <x:v>ST-1904</x:v>
      </x:c>
      <x:c r="D313" s="12" t="str">
        <x:v>GAMEPLAY_AGENT</x:v>
      </x:c>
      <x:c r="E313" s="12" t="str">
        <x:v>Implement state graph và tương tác P18</x:v>
      </x:c>
      <x:c r="F313" s="12" t="str">
        <x:v>NOT_STARTED</x:v>
      </x:c>
      <x:c r="G313" s="12" t="str">
        <x:v>T-190201, T-190202, T-190203, T-190204, T-190301, T-190302, T-190303, T-190304</x:v>
      </x:c>
      <x:c r="H313" s="12" t="str">
        <x:v>docs/puzzles/P18.md; data/puzzles/P18.tres</x:v>
      </x:c>
      <x:c r="I313" s="12" t="str">
        <x:v>ARTIFACT_REVIEW, ENGINE_TEST</x:v>
      </x:c>
      <x:c r="J313" s="12" t="str">
        <x:v>L</x:v>
      </x:c>
      <x:c r="K313" s="12" t="str">
        <x:v>reports/tasks/T-190401/evidence.json</x:v>
      </x:c>
      <x:c r="L313" s="12" t="str">
        <x:v>tasks/T-190401.md</x:v>
      </x:c>
      <x:c r="M313" s="12" t="str">
        <x:v>none</x:v>
      </x:c>
    </x:row>
    <x:row r="314" ht="58" customHeight="1">
      <x:c r="A314" s="12" t="str">
        <x:v>T-190402</x:v>
      </x:c>
      <x:c r="B314" s="12" t="str">
        <x:v>S19</x:v>
      </x:c>
      <x:c r="C314" s="12" t="str">
        <x:v>ST-1904</x:v>
      </x:c>
      <x:c r="D314" s="12" t="str">
        <x:v>GAMEPLAY_AGENT</x:v>
      </x:c>
      <x:c r="E314" s="12" t="str">
        <x:v>Dựng nhánh M05 — Ghi chú mẹ về đoạn đường vượt sân sau</x:v>
      </x:c>
      <x:c r="F314" s="12" t="str">
        <x:v>NOT_STARTED</x:v>
      </x:c>
      <x:c r="G314" s="12" t="str">
        <x:v>T-190201, T-190202, T-190203, T-190204, T-190301, T-190302, T-190303, T-190304, T-190401</x:v>
      </x:c>
      <x:c r="H314" s="12" t="str">
        <x:v>data/evidence/M05.tres; scenes/levels/ch05/</x:v>
      </x:c>
      <x:c r="I314" s="12" t="str">
        <x:v>ARTIFACT_REVIEW, ENGINE_TEST</x:v>
      </x:c>
      <x:c r="J314" s="12" t="str">
        <x:v>L</x:v>
      </x:c>
      <x:c r="K314" s="12" t="str">
        <x:v>reports/tasks/T-190402/evidence.json</x:v>
      </x:c>
      <x:c r="L314" s="12" t="str">
        <x:v>tasks/T-190402.md</x:v>
      </x:c>
      <x:c r="M314" s="12" t="str">
        <x:v>none</x:v>
      </x:c>
    </x:row>
    <x:row r="315" ht="58" customHeight="1">
      <x:c r="A315" s="12" t="str">
        <x:v>T-190403</x:v>
      </x:c>
      <x:c r="B315" s="12" t="str">
        <x:v>S19</x:v>
      </x:c>
      <x:c r="C315" s="12" t="str">
        <x:v>ST-1904</x:v>
      </x:c>
      <x:c r="D315" s="12" t="str">
        <x:v>GAMEPLAY_AGENT</x:v>
      </x:c>
      <x:c r="E315" s="12" t="str">
        <x:v>Ghép completion và handoff CH5→CH6</x:v>
      </x:c>
      <x:c r="F315" s="12" t="str">
        <x:v>NOT_STARTED</x:v>
      </x:c>
      <x:c r="G315" s="12" t="str">
        <x:v>T-190201, T-190202, T-190203, T-190204, T-190301, T-190302, T-190303, T-190304, T-190402</x:v>
      </x:c>
      <x:c r="H315" s="12" t="str">
        <x:v>data/story/ch05_handoff.tres</x:v>
      </x:c>
      <x:c r="I315" s="12" t="str">
        <x:v>ARTIFACT_REVIEW, ENGINE_TEST</x:v>
      </x:c>
      <x:c r="J315" s="12" t="str">
        <x:v>M</x:v>
      </x:c>
      <x:c r="K315" s="12" t="str">
        <x:v>reports/tasks/T-190403/evidence.json</x:v>
      </x:c>
      <x:c r="L315" s="12" t="str">
        <x:v>tasks/T-190403.md</x:v>
      </x:c>
      <x:c r="M315" s="12" t="str">
        <x:v>none</x:v>
      </x:c>
    </x:row>
    <x:row r="316" ht="58" customHeight="1">
      <x:c r="A316" s="12" t="str">
        <x:v>T-190404</x:v>
      </x:c>
      <x:c r="B316" s="12" t="str">
        <x:v>S19</x:v>
      </x:c>
      <x:c r="C316" s="12" t="str">
        <x:v>ST-1904</x:v>
      </x:c>
      <x:c r="D316" s="12" t="str">
        <x:v>QA_AGENT</x:v>
      </x:c>
      <x:c r="E316" s="12" t="str">
        <x:v>Test greybox chapter H05 từ cold start</x:v>
      </x:c>
      <x:c r="F316" s="12" t="str">
        <x:v>NOT_STARTED</x:v>
      </x:c>
      <x:c r="G316" s="12" t="str">
        <x:v>T-190201, T-190202, T-190203, T-190204, T-190301, T-190302, T-190303, T-190304, T-190403</x:v>
      </x:c>
      <x:c r="H316" s="12" t="str">
        <x:v>reports/S19/ch05_greybox.md</x:v>
      </x:c>
      <x:c r="I316" s="12" t="str">
        <x:v>ARTIFACT_REVIEW, ENGINE_TEST, RENDERED_RUNTIME</x:v>
      </x:c>
      <x:c r="J316" s="12" t="str">
        <x:v>S</x:v>
      </x:c>
      <x:c r="K316" s="12" t="str">
        <x:v>reports/tasks/T-190404/evidence.json</x:v>
      </x:c>
      <x:c r="L316" s="12" t="str">
        <x:v>tasks/T-190404.md</x:v>
      </x:c>
      <x:c r="M316" s="12" t="str">
        <x:v>none</x:v>
      </x:c>
    </x:row>
    <x:row r="317" ht="58" customHeight="1">
      <x:c r="A317" s="12" t="str">
        <x:v>T-200101</x:v>
      </x:c>
      <x:c r="B317" s="12" t="str">
        <x:v>S20</x:v>
      </x:c>
      <x:c r="C317" s="12" t="str">
        <x:v>ST-2001</x:v>
      </x:c>
      <x:c r="D317" s="12" t="str">
        <x:v>NARRATIVE_AGENT</x:v>
      </x:c>
      <x:c r="E317" s="12" t="str">
        <x:v>Viết final dialogue, inspect text và captions H05</x:v>
      </x:c>
      <x:c r="F317" s="12" t="str">
        <x:v>NOT_STARTED</x:v>
      </x:c>
      <x:c r="G317" s="12" t="str">
        <x:v>T-190401, T-190402, T-190403, T-190404</x:v>
      </x:c>
      <x:c r="H317" s="12" t="str">
        <x:v>data/dialogue/ch05/; localization/vi.csv</x:v>
      </x:c>
      <x:c r="I317" s="12" t="str">
        <x:v>ARTIFACT_REVIEW</x:v>
      </x:c>
      <x:c r="J317" s="12" t="str">
        <x:v>M</x:v>
      </x:c>
      <x:c r="K317" s="12" t="str">
        <x:v>reports/tasks/T-200101/evidence.json</x:v>
      </x:c>
      <x:c r="L317" s="12" t="str">
        <x:v>tasks/T-200101.md</x:v>
      </x:c>
      <x:c r="M317" s="12" t="str">
        <x:v>none</x:v>
      </x:c>
    </x:row>
    <x:row r="318" ht="58" customHeight="1">
      <x:c r="A318" s="12" t="str">
        <x:v>T-200102</x:v>
      </x:c>
      <x:c r="B318" s="12" t="str">
        <x:v>S20</x:v>
      </x:c>
      <x:c r="C318" s="12" t="str">
        <x:v>ST-2001</x:v>
      </x:c>
      <x:c r="D318" s="12" t="str">
        <x:v>GAMEPLAY_AGENT</x:v>
      </x:c>
      <x:c r="E318" s="12" t="str">
        <x:v>Ghép trigger diễn xuất và camera focus H05</x:v>
      </x:c>
      <x:c r="F318" s="12" t="str">
        <x:v>NOT_STARTED</x:v>
      </x:c>
      <x:c r="G318" s="12" t="str">
        <x:v>T-190401, T-190402, T-190403, T-190404, T-200101</x:v>
      </x:c>
      <x:c r="H318" s="12" t="str">
        <x:v>data/sequences/ch05/; scenes/levels/ch05/</x:v>
      </x:c>
      <x:c r="I318" s="12" t="str">
        <x:v>ARTIFACT_REVIEW, ENGINE_TEST, RENDERED_RUNTIME</x:v>
      </x:c>
      <x:c r="J318" s="12" t="str">
        <x:v>L</x:v>
      </x:c>
      <x:c r="K318" s="12" t="str">
        <x:v>reports/tasks/T-200102/evidence.json</x:v>
      </x:c>
      <x:c r="L318" s="12" t="str">
        <x:v>tasks/T-200102.md</x:v>
      </x:c>
      <x:c r="M318" s="12" t="str">
        <x:v>none</x:v>
      </x:c>
    </x:row>
    <x:row r="319" ht="58" customHeight="1">
      <x:c r="A319" s="12" t="str">
        <x:v>T-200103</x:v>
      </x:c>
      <x:c r="B319" s="12" t="str">
        <x:v>S20</x:v>
      </x:c>
      <x:c r="C319" s="12" t="str">
        <x:v>ST-2001</x:v>
      </x:c>
      <x:c r="D319" s="12" t="str">
        <x:v>GAMEPLAY_AGENT</x:v>
      </x:c>
      <x:c r="E319" s="12" t="str">
        <x:v>Cấu hình nhịp encounter hoặc nghỉ nhịp H05</x:v>
      </x:c>
      <x:c r="F319" s="12" t="str">
        <x:v>NOT_STARTED</x:v>
      </x:c>
      <x:c r="G319" s="12" t="str">
        <x:v>T-190401, T-190402, T-190403, T-190404, T-200102</x:v>
      </x:c>
      <x:c r="H319" s="12" t="str">
        <x:v>data/encounters/ch05.tres</x:v>
      </x:c>
      <x:c r="I319" s="12" t="str">
        <x:v>ARTIFACT_REVIEW, ENGINE_TEST</x:v>
      </x:c>
      <x:c r="J319" s="12" t="str">
        <x:v>M</x:v>
      </x:c>
      <x:c r="K319" s="12" t="str">
        <x:v>reports/tasks/T-200103/evidence.json</x:v>
      </x:c>
      <x:c r="L319" s="12" t="str">
        <x:v>tasks/T-200103.md</x:v>
      </x:c>
      <x:c r="M319" s="12" t="str">
        <x:v>none</x:v>
      </x:c>
    </x:row>
    <x:row r="320" ht="58" customHeight="1">
      <x:c r="A320" s="12" t="str">
        <x:v>T-200104</x:v>
      </x:c>
      <x:c r="B320" s="12" t="str">
        <x:v>S20</x:v>
      </x:c>
      <x:c r="C320" s="12" t="str">
        <x:v>ST-2001</x:v>
      </x:c>
      <x:c r="D320" s="12" t="str">
        <x:v>GAMEPLAY_AGENT</x:v>
      </x:c>
      <x:c r="E320" s="12" t="str">
        <x:v>Kiểm tra reveal và skip/reload H05</x:v>
      </x:c>
      <x:c r="F320" s="12" t="str">
        <x:v>NOT_STARTED</x:v>
      </x:c>
      <x:c r="G320" s="12" t="str">
        <x:v>T-190401, T-190402, T-190403, T-190404, T-200103</x:v>
      </x:c>
      <x:c r="H320" s="12" t="str">
        <x:v>reports/S20/ch05_narrative.md</x:v>
      </x:c>
      <x:c r="I320" s="12" t="str">
        <x:v>ARTIFACT_REVIEW, ENGINE_TEST</x:v>
      </x:c>
      <x:c r="J320" s="12" t="str">
        <x:v>S</x:v>
      </x:c>
      <x:c r="K320" s="12" t="str">
        <x:v>reports/tasks/T-200104/evidence.json</x:v>
      </x:c>
      <x:c r="L320" s="12" t="str">
        <x:v>tasks/T-200104.md</x:v>
      </x:c>
      <x:c r="M320" s="12" t="str">
        <x:v>none</x:v>
      </x:c>
    </x:row>
    <x:row r="321" ht="58" customHeight="1">
      <x:c r="A321" s="12" t="str">
        <x:v>T-200201</x:v>
      </x:c>
      <x:c r="B321" s="12" t="str">
        <x:v>S20</x:v>
      </x:c>
      <x:c r="C321" s="12" t="str">
        <x:v>ST-2002</x:v>
      </x:c>
      <x:c r="D321" s="12" t="str">
        <x:v>ART_AGENT</x:v>
      </x:c>
      <x:c r="E321" s="12" t="str">
        <x:v>Hoàn thiện material/lighting môi trường H05</x:v>
      </x:c>
      <x:c r="F321" s="12" t="str">
        <x:v>NOT_STARTED</x:v>
      </x:c>
      <x:c r="G321" s="12" t="str">
        <x:v>T-190301, T-190302, T-190303, T-190304, T-200101, T-200102, T-200103, T-200104</x:v>
      </x:c>
      <x:c r="H321" s="12" t="str">
        <x:v>art/export/environment/ch05_final/</x:v>
      </x:c>
      <x:c r="I321" s="12" t="str">
        <x:v>ARTIFACT_REVIEW, RENDERED_RUNTIME</x:v>
      </x:c>
      <x:c r="J321" s="12" t="str">
        <x:v>L</x:v>
      </x:c>
      <x:c r="K321" s="12" t="str">
        <x:v>reports/tasks/T-200201/evidence.json</x:v>
      </x:c>
      <x:c r="L321" s="12" t="str">
        <x:v>tasks/T-200201.md</x:v>
      </x:c>
      <x:c r="M321" s="12" t="str">
        <x:v>none</x:v>
      </x:c>
    </x:row>
    <x:row r="322" ht="58" customHeight="1">
      <x:c r="A322" s="12" t="str">
        <x:v>T-200202</x:v>
      </x:c>
      <x:c r="B322" s="12" t="str">
        <x:v>S20</x:v>
      </x:c>
      <x:c r="C322" s="12" t="str">
        <x:v>ST-2002</x:v>
      </x:c>
      <x:c r="D322" s="12" t="str">
        <x:v>ART_AGENT</x:v>
      </x:c>
      <x:c r="E322" s="12" t="str">
        <x:v>Hoàn thiện props/NPC diễn xuất trọng tâm H05</x:v>
      </x:c>
      <x:c r="F322" s="12" t="str">
        <x:v>NOT_STARTED</x:v>
      </x:c>
      <x:c r="G322" s="12" t="str">
        <x:v>T-190301, T-190302, T-190303, T-190304, T-200101, T-200102, T-200103, T-200104, T-200201</x:v>
      </x:c>
      <x:c r="H322" s="12" t="str">
        <x:v>art/export/characters/ch05/; art/export/props/ch05/</x:v>
      </x:c>
      <x:c r="I322" s="12" t="str">
        <x:v>ARTIFACT_REVIEW, RENDERED_RUNTIME</x:v>
      </x:c>
      <x:c r="J322" s="12" t="str">
        <x:v>L</x:v>
      </x:c>
      <x:c r="K322" s="12" t="str">
        <x:v>reports/tasks/T-200202/evidence.json</x:v>
      </x:c>
      <x:c r="L322" s="12" t="str">
        <x:v>tasks/T-200202.md</x:v>
      </x:c>
      <x:c r="M322" s="12" t="str">
        <x:v>none</x:v>
      </x:c>
    </x:row>
    <x:row r="323" ht="58" customHeight="1">
      <x:c r="A323" s="12" t="str">
        <x:v>T-200203</x:v>
      </x:c>
      <x:c r="B323" s="12" t="str">
        <x:v>S20</x:v>
      </x:c>
      <x:c r="C323" s="12" t="str">
        <x:v>ST-2002</x:v>
      </x:c>
      <x:c r="D323" s="12" t="str">
        <x:v>ART_AGENT</x:v>
      </x:c>
      <x:c r="E323" s="12" t="str">
        <x:v>Set dress và kiểm tra silhouette H05</x:v>
      </x:c>
      <x:c r="F323" s="12" t="str">
        <x:v>NOT_STARTED</x:v>
      </x:c>
      <x:c r="G323" s="12" t="str">
        <x:v>T-190301, T-190302, T-190303, T-190304, T-200101, T-200102, T-200103, T-200104, T-200202</x:v>
      </x:c>
      <x:c r="H323" s="12" t="str">
        <x:v>art/lighting/ch05/</x:v>
      </x:c>
      <x:c r="I323" s="12" t="str">
        <x:v>ARTIFACT_REVIEW, RENDERED_RUNTIME</x:v>
      </x:c>
      <x:c r="J323" s="12" t="str">
        <x:v>L</x:v>
      </x:c>
      <x:c r="K323" s="12" t="str">
        <x:v>reports/tasks/T-200203/evidence.json</x:v>
      </x:c>
      <x:c r="L323" s="12" t="str">
        <x:v>tasks/T-200203.md</x:v>
      </x:c>
      <x:c r="M323" s="12" t="str">
        <x:v>none</x:v>
      </x:c>
    </x:row>
    <x:row r="324" ht="58" customHeight="1">
      <x:c r="A324" s="12" t="str">
        <x:v>T-200204</x:v>
      </x:c>
      <x:c r="B324" s="12" t="str">
        <x:v>S20</x:v>
      </x:c>
      <x:c r="C324" s="12" t="str">
        <x:v>ST-2002</x:v>
      </x:c>
      <x:c r="D324" s="12" t="str">
        <x:v>GAMEPLAY_AGENT</x:v>
      </x:c>
      <x:c r="E324" s="12" t="str">
        <x:v>Ghép asset final và khóa phiên bản H05</x:v>
      </x:c>
      <x:c r="F324" s="12" t="str">
        <x:v>NOT_STARTED</x:v>
      </x:c>
      <x:c r="G324" s="12" t="str">
        <x:v>T-190301, T-190302, T-190303, T-190304, T-200101, T-200102, T-200103, T-200104, T-200203</x:v>
      </x:c>
      <x:c r="H324" s="12" t="str">
        <x:v>reports/S20/ch05_art_signoff.md</x:v>
      </x:c>
      <x:c r="I324" s="12" t="str">
        <x:v>ARTIFACT_REVIEW, ENGINE_TEST</x:v>
      </x:c>
      <x:c r="J324" s="12" t="str">
        <x:v>M</x:v>
      </x:c>
      <x:c r="K324" s="12" t="str">
        <x:v>reports/tasks/T-200204/evidence.json</x:v>
      </x:c>
      <x:c r="L324" s="12" t="str">
        <x:v>tasks/T-200204.md</x:v>
      </x:c>
      <x:c r="M324" s="12" t="str">
        <x:v>none</x:v>
      </x:c>
    </x:row>
    <x:row r="325" ht="58" customHeight="1">
      <x:c r="A325" s="12" t="str">
        <x:v>T-200301</x:v>
      </x:c>
      <x:c r="B325" s="12" t="str">
        <x:v>S20</x:v>
      </x:c>
      <x:c r="C325" s="12" t="str">
        <x:v>ST-2003</x:v>
      </x:c>
      <x:c r="D325" s="12" t="str">
        <x:v>AUDIO_AGENT</x:v>
      </x:c>
      <x:c r="E325" s="12" t="str">
        <x:v>Tạo ambience và cue đặc trưng H05</x:v>
      </x:c>
      <x:c r="F325" s="12" t="str">
        <x:v>NOT_STARTED</x:v>
      </x:c>
      <x:c r="G325" s="12" t="str">
        <x:v>T-200101, T-200102, T-200103, T-200104</x:v>
      </x:c>
      <x:c r="H325" s="12" t="str">
        <x:v>audio/ambience/ch05/; audio/cue_sheets/ch05.csv</x:v>
      </x:c>
      <x:c r="I325" s="12" t="str">
        <x:v>ARTIFACT_REVIEW, AUDIO_REVIEW</x:v>
      </x:c>
      <x:c r="J325" s="12" t="str">
        <x:v>L</x:v>
      </x:c>
      <x:c r="K325" s="12" t="str">
        <x:v>reports/tasks/T-200301/evidence.json</x:v>
      </x:c>
      <x:c r="L325" s="12" t="str">
        <x:v>tasks/T-200301.md</x:v>
      </x:c>
      <x:c r="M325" s="12" t="str">
        <x:v>none</x:v>
      </x:c>
    </x:row>
    <x:row r="326" ht="58" customHeight="1">
      <x:c r="A326" s="12" t="str">
        <x:v>T-200302</x:v>
      </x:c>
      <x:c r="B326" s="12" t="str">
        <x:v>S20</x:v>
      </x:c>
      <x:c r="C326" s="12" t="str">
        <x:v>ST-2003</x:v>
      </x:c>
      <x:c r="D326" s="12" t="str">
        <x:v>AUDIO_AGENT</x:v>
      </x:c>
      <x:c r="E326" s="12" t="str">
        <x:v>Tạo/chỉnh music stem và interaction SFX H05</x:v>
      </x:c>
      <x:c r="F326" s="12" t="str">
        <x:v>NOT_STARTED</x:v>
      </x:c>
      <x:c r="G326" s="12" t="str">
        <x:v>T-200101, T-200102, T-200103, T-200104, T-200301</x:v>
      </x:c>
      <x:c r="H326" s="12" t="str">
        <x:v>audio/music/ch05/; audio/sfx/ch05/</x:v>
      </x:c>
      <x:c r="I326" s="12" t="str">
        <x:v>ARTIFACT_REVIEW, AUDIO_REVIEW</x:v>
      </x:c>
      <x:c r="J326" s="12" t="str">
        <x:v>L</x:v>
      </x:c>
      <x:c r="K326" s="12" t="str">
        <x:v>reports/tasks/T-200302/evidence.json</x:v>
      </x:c>
      <x:c r="L326" s="12" t="str">
        <x:v>tasks/T-200302.md</x:v>
      </x:c>
      <x:c r="M326" s="12" t="str">
        <x:v>none</x:v>
      </x:c>
    </x:row>
    <x:row r="327" ht="58" customHeight="1">
      <x:c r="A327" s="12" t="str">
        <x:v>T-200303</x:v>
      </x:c>
      <x:c r="B327" s="12" t="str">
        <x:v>S20</x:v>
      </x:c>
      <x:c r="C327" s="12" t="str">
        <x:v>ST-2003</x:v>
      </x:c>
      <x:c r="D327" s="12" t="str">
        <x:v>GAMEPLAY_AGENT</x:v>
      </x:c>
      <x:c r="E327" s="12" t="str">
        <x:v>Ghép audio transitions và captions H05</x:v>
      </x:c>
      <x:c r="F327" s="12" t="str">
        <x:v>NOT_STARTED</x:v>
      </x:c>
      <x:c r="G327" s="12" t="str">
        <x:v>T-200101, T-200102, T-200103, T-200104, T-200302</x:v>
      </x:c>
      <x:c r="H327" s="12" t="str">
        <x:v>scenes/levels/ch05/; localization/captions.csv</x:v>
      </x:c>
      <x:c r="I327" s="12" t="str">
        <x:v>ARTIFACT_REVIEW, ENGINE_TEST</x:v>
      </x:c>
      <x:c r="J327" s="12" t="str">
        <x:v>L</x:v>
      </x:c>
      <x:c r="K327" s="12" t="str">
        <x:v>reports/tasks/T-200303/evidence.json</x:v>
      </x:c>
      <x:c r="L327" s="12" t="str">
        <x:v>tasks/T-200303.md</x:v>
      </x:c>
      <x:c r="M327" s="12" t="str">
        <x:v>none</x:v>
      </x:c>
    </x:row>
    <x:row r="328" ht="58" customHeight="1">
      <x:c r="A328" s="12" t="str">
        <x:v>T-200304</x:v>
      </x:c>
      <x:c r="B328" s="12" t="str">
        <x:v>S20</x:v>
      </x:c>
      <x:c r="C328" s="12" t="str">
        <x:v>ST-2003</x:v>
      </x:c>
      <x:c r="D328" s="12" t="str">
        <x:v>QA_AGENT</x:v>
      </x:c>
      <x:c r="E328" s="12" t="str">
        <x:v>Test mute/mix/pause trong H05</x:v>
      </x:c>
      <x:c r="F328" s="12" t="str">
        <x:v>NOT_STARTED</x:v>
      </x:c>
      <x:c r="G328" s="12" t="str">
        <x:v>T-200101, T-200102, T-200103, T-200104, T-200303</x:v>
      </x:c>
      <x:c r="H328" s="12" t="str">
        <x:v>reports/S20/ch05_audio.md</x:v>
      </x:c>
      <x:c r="I328" s="12" t="str">
        <x:v>ARTIFACT_REVIEW, ENGINE_TEST, RENDERED_RUNTIME</x:v>
      </x:c>
      <x:c r="J328" s="12" t="str">
        <x:v>S</x:v>
      </x:c>
      <x:c r="K328" s="12" t="str">
        <x:v>reports/tasks/T-200304/evidence.json</x:v>
      </x:c>
      <x:c r="L328" s="12" t="str">
        <x:v>tasks/T-200304.md</x:v>
      </x:c>
      <x:c r="M328" s="12" t="str">
        <x:v>none</x:v>
      </x:c>
    </x:row>
    <x:row r="329" ht="58" customHeight="1">
      <x:c r="A329" s="12" t="str">
        <x:v>T-200401</x:v>
      </x:c>
      <x:c r="B329" s="12" t="str">
        <x:v>S20</x:v>
      </x:c>
      <x:c r="C329" s="12" t="str">
        <x:v>ST-2004</x:v>
      </x:c>
      <x:c r="D329" s="12" t="str">
        <x:v>QA_AGENT</x:v>
      </x:c>
      <x:c r="E329" s="12" t="str">
        <x:v>Chạy puzzle/save/phase matrix H05</x:v>
      </x:c>
      <x:c r="F329" s="12" t="str">
        <x:v>NOT_STARTED</x:v>
      </x:c>
      <x:c r="G329" s="12" t="str">
        <x:v>T-200101, T-200102, T-200103, T-200104, T-200201, T-200202, T-200203, T-200204, T-200301, T-200302, T-200303, T-200304</x:v>
      </x:c>
      <x:c r="H329" s="12" t="str">
        <x:v>reports/S20/ch05_regression.csv</x:v>
      </x:c>
      <x:c r="I329" s="12" t="str">
        <x:v>ARTIFACT_REVIEW, ENGINE_TEST, RENDERED_RUNTIME</x:v>
      </x:c>
      <x:c r="J329" s="12" t="str">
        <x:v>L</x:v>
      </x:c>
      <x:c r="K329" s="12" t="str">
        <x:v>reports/tasks/T-200401/evidence.json</x:v>
      </x:c>
      <x:c r="L329" s="12" t="str">
        <x:v>tasks/T-200401.md</x:v>
      </x:c>
      <x:c r="M329" s="12" t="str">
        <x:v>none</x:v>
      </x:c>
    </x:row>
    <x:row r="330" ht="58" customHeight="1">
      <x:c r="A330" s="12" t="str">
        <x:v>T-200402</x:v>
      </x:c>
      <x:c r="B330" s="12" t="str">
        <x:v>S20</x:v>
      </x:c>
      <x:c r="C330" s="12" t="str">
        <x:v>ST-2004</x:v>
      </x:c>
      <x:c r="D330" s="12" t="str">
        <x:v>QA_AGENT</x:v>
      </x:c>
      <x:c r="E330" s="12" t="str">
        <x:v>Test ngoài nhóm và quan sát đường chơi H05</x:v>
      </x:c>
      <x:c r="F330" s="12" t="str">
        <x:v>NOT_STARTED</x:v>
      </x:c>
      <x:c r="G330" s="12" t="str">
        <x:v>T-200101, T-200102, T-200103, T-200104, T-200201, T-200202, T-200203, T-200204, T-200301, T-200302, T-200303, T-200304, T-200401</x:v>
      </x:c>
      <x:c r="H330" s="12" t="str">
        <x:v>reports/S20/ch05_playtest.md</x:v>
      </x:c>
      <x:c r="I330" s="12" t="str">
        <x:v>ARTIFACT_REVIEW, ENGINE_TEST, RENDERED_RUNTIME</x:v>
      </x:c>
      <x:c r="J330" s="12" t="str">
        <x:v>L</x:v>
      </x:c>
      <x:c r="K330" s="12" t="str">
        <x:v>reports/tasks/T-200402/evidence.json</x:v>
      </x:c>
      <x:c r="L330" s="12" t="str">
        <x:v>tasks/T-200402.md</x:v>
      </x:c>
      <x:c r="M330" s="12" t="str">
        <x:v>none</x:v>
      </x:c>
    </x:row>
    <x:row r="331" ht="58" customHeight="1">
      <x:c r="A331" s="12" t="str">
        <x:v>T-200403</x:v>
      </x:c>
      <x:c r="B331" s="12" t="str">
        <x:v>S20</x:v>
      </x:c>
      <x:c r="C331" s="12" t="str">
        <x:v>ST-2004</x:v>
      </x:c>
      <x:c r="D331" s="12" t="str">
        <x:v>QA_AGENT</x:v>
      </x:c>
      <x:c r="E331" s="12" t="str">
        <x:v>Sửa blocker/hint/camera trọng tâm H05</x:v>
      </x:c>
      <x:c r="F331" s="12" t="str">
        <x:v>NOT_STARTED</x:v>
      </x:c>
      <x:c r="G331" s="12" t="str">
        <x:v>T-200101, T-200102, T-200103, T-200104, T-200201, T-200202, T-200203, T-200204, T-200301, T-200302, T-200303, T-200304, T-200402</x:v>
      </x:c>
      <x:c r="H331" s="12" t="str">
        <x:v>reports/S20/ch05_retest.md</x:v>
      </x:c>
      <x:c r="I331" s="12" t="str">
        <x:v>ARTIFACT_REVIEW, ENGINE_TEST, RENDERED_RUNTIME</x:v>
      </x:c>
      <x:c r="J331" s="12" t="str">
        <x:v>L</x:v>
      </x:c>
      <x:c r="K331" s="12" t="str">
        <x:v>reports/tasks/T-200403/evidence.json</x:v>
      </x:c>
      <x:c r="L331" s="12" t="str">
        <x:v>tasks/T-200403.md</x:v>
      </x:c>
      <x:c r="M331" s="12" t="str">
        <x:v>none</x:v>
      </x:c>
    </x:row>
    <x:row r="332" ht="58" customHeight="1">
      <x:c r="A332" s="12" t="str">
        <x:v>T-200404</x:v>
      </x:c>
      <x:c r="B332" s="12" t="str">
        <x:v>S20</x:v>
      </x:c>
      <x:c r="C332" s="12" t="str">
        <x:v>ST-2004</x:v>
      </x:c>
      <x:c r="D332" s="12" t="str">
        <x:v>QA_AGENT</x:v>
      </x:c>
      <x:c r="E332" s="12" t="str">
        <x:v>Test lại từ hub xuyên hai chapter gần nhất</x:v>
      </x:c>
      <x:c r="F332" s="12" t="str">
        <x:v>NOT_STARTED</x:v>
      </x:c>
      <x:c r="G332" s="12" t="str">
        <x:v>T-200101, T-200102, T-200103, T-200104, T-200201, T-200202, T-200203, T-200204, T-200301, T-200302, T-200303, T-200304, T-200403</x:v>
      </x:c>
      <x:c r="H332" s="12" t="str">
        <x:v>reports/S20/cross_chapter.md</x:v>
      </x:c>
      <x:c r="I332" s="12" t="str">
        <x:v>ARTIFACT_REVIEW, ENGINE_TEST, RENDERED_RUNTIME</x:v>
      </x:c>
      <x:c r="J332" s="12" t="str">
        <x:v>L</x:v>
      </x:c>
      <x:c r="K332" s="12" t="str">
        <x:v>reports/tasks/T-200404/evidence.json</x:v>
      </x:c>
      <x:c r="L332" s="12" t="str">
        <x:v>tasks/T-200404.md</x:v>
      </x:c>
      <x:c r="M332" s="12" t="str">
        <x:v>none</x:v>
      </x:c>
    </x:row>
    <x:row r="333" ht="58" customHeight="1">
      <x:c r="A333" s="12" t="str">
        <x:v>T-200405</x:v>
      </x:c>
      <x:c r="B333" s="12" t="str">
        <x:v>S20</x:v>
      </x:c>
      <x:c r="C333" s="12" t="str">
        <x:v>ST-2004</x:v>
      </x:c>
      <x:c r="D333" s="12" t="str">
        <x:v>GAMEPLAY_AGENT</x:v>
      </x:c>
      <x:c r="E333" s="12" t="str">
        <x:v>Duyệt chapter DoD và đánh giá lại đường găng</x:v>
      </x:c>
      <x:c r="F333" s="12" t="str">
        <x:v>NOT_STARTED</x:v>
      </x:c>
      <x:c r="G333" s="12" t="str">
        <x:v>T-200101, T-200102, T-200103, T-200104, T-200201, T-200202, T-200203, T-200204, T-200301, T-200302, T-200303, T-200304, T-200404</x:v>
      </x:c>
      <x:c r="H333" s="12" t="str">
        <x:v>reports/S20/ch05_signoff.md</x:v>
      </x:c>
      <x:c r="I333" s="12" t="str">
        <x:v>ARTIFACT_REVIEW, ENGINE_TEST</x:v>
      </x:c>
      <x:c r="J333" s="12" t="str">
        <x:v>S</x:v>
      </x:c>
      <x:c r="K333" s="12" t="str">
        <x:v>reports/tasks/T-200405/evidence.json</x:v>
      </x:c>
      <x:c r="L333" s="12" t="str">
        <x:v>tasks/T-200405.md</x:v>
      </x:c>
      <x:c r="M333" s="12" t="str">
        <x:v>none</x:v>
      </x:c>
    </x:row>
    <x:row r="334" ht="58" customHeight="1">
      <x:c r="A334" s="12" t="str">
        <x:v>T-200501</x:v>
      </x:c>
      <x:c r="B334" s="12" t="str">
        <x:v>S20</x:v>
      </x:c>
      <x:c r="C334" s="12" t="str">
        <x:v>ST-2005</x:v>
      </x:c>
      <x:c r="D334" s="12" t="str">
        <x:v>RELEASE_AGENT</x:v>
      </x:c>
      <x:c r="E334" s="12" t="str">
        <x:v>Chọn shot list tránh spoiler CH5/CH6</x:v>
      </x:c>
      <x:c r="F334" s="12" t="str">
        <x:v>NOT_STARTED</x:v>
      </x:c>
      <x:c r="G334" s="12" t="str">
        <x:v>T-140501, T-140502, T-140503, T-140504, T-140505, T-180401, T-180402, T-180403, T-180404, T-180405</x:v>
      </x:c>
      <x:c r="H334" s="12" t="str">
        <x:v>marketing/teaser_shotlist.md</x:v>
      </x:c>
      <x:c r="I334" s="12" t="str">
        <x:v>ARTIFACT_REVIEW</x:v>
      </x:c>
      <x:c r="J334" s="12" t="str">
        <x:v>S</x:v>
      </x:c>
      <x:c r="K334" s="12" t="str">
        <x:v>reports/tasks/T-200501/evidence.json</x:v>
      </x:c>
      <x:c r="L334" s="12" t="str">
        <x:v>tasks/T-200501.md</x:v>
      </x:c>
      <x:c r="M334" s="12" t="str">
        <x:v>none</x:v>
      </x:c>
    </x:row>
    <x:row r="335" ht="58" customHeight="1">
      <x:c r="A335" s="12" t="str">
        <x:v>T-200502</x:v>
      </x:c>
      <x:c r="B335" s="12" t="str">
        <x:v>S20</x:v>
      </x:c>
      <x:c r="C335" s="12" t="str">
        <x:v>ST-2005</x:v>
      </x:c>
      <x:c r="D335" s="12" t="str">
        <x:v>ART_AGENT</x:v>
      </x:c>
      <x:c r="E335" s="12" t="str">
        <x:v>Dựng teaser từ footage và title card</x:v>
      </x:c>
      <x:c r="F335" s="12" t="str">
        <x:v>NOT_STARTED</x:v>
      </x:c>
      <x:c r="G335" s="12" t="str">
        <x:v>T-140501, T-140502, T-140503, T-140504, T-140505, T-180401, T-180402, T-180403, T-180404, T-180405, T-200501</x:v>
      </x:c>
      <x:c r="H335" s="12" t="str">
        <x:v>marketing/teaser_v1/</x:v>
      </x:c>
      <x:c r="I335" s="12" t="str">
        <x:v>ARTIFACT_REVIEW, RENDERED_RUNTIME</x:v>
      </x:c>
      <x:c r="J335" s="12" t="str">
        <x:v>M</x:v>
      </x:c>
      <x:c r="K335" s="12" t="str">
        <x:v>reports/tasks/T-200502/evidence.json</x:v>
      </x:c>
      <x:c r="L335" s="12" t="str">
        <x:v>tasks/T-200502.md</x:v>
      </x:c>
      <x:c r="M335" s="12" t="str">
        <x:v>none</x:v>
      </x:c>
    </x:row>
    <x:row r="336" ht="58" customHeight="1">
      <x:c r="A336" s="12" t="str">
        <x:v>T-200503</x:v>
      </x:c>
      <x:c r="B336" s="12" t="str">
        <x:v>S20</x:v>
      </x:c>
      <x:c r="C336" s="12" t="str">
        <x:v>ST-2005</x:v>
      </x:c>
      <x:c r="D336" s="12" t="str">
        <x:v>RELEASE_AGENT</x:v>
      </x:c>
      <x:c r="E336" s="12" t="str">
        <x:v>Cập nhật press kit, trailer text và description</x:v>
      </x:c>
      <x:c r="F336" s="12" t="str">
        <x:v>NOT_STARTED</x:v>
      </x:c>
      <x:c r="G336" s="12" t="str">
        <x:v>T-140501, T-140502, T-140503, T-140504, T-140505, T-180401, T-180402, T-180403, T-180404, T-180405, T-200502</x:v>
      </x:c>
      <x:c r="H336" s="12" t="str">
        <x:v>marketing/presskit_v1.md</x:v>
      </x:c>
      <x:c r="I336" s="12" t="str">
        <x:v>ARTIFACT_REVIEW</x:v>
      </x:c>
      <x:c r="J336" s="12" t="str">
        <x:v>S</x:v>
      </x:c>
      <x:c r="K336" s="12" t="str">
        <x:v>reports/tasks/T-200503/evidence.json</x:v>
      </x:c>
      <x:c r="L336" s="12" t="str">
        <x:v>tasks/T-200503.md</x:v>
      </x:c>
      <x:c r="M336" s="12" t="str">
        <x:v>none</x:v>
      </x:c>
    </x:row>
    <x:row r="337" ht="58" customHeight="1">
      <x:c r="A337" s="12" t="str">
        <x:v>T-200504</x:v>
      </x:c>
      <x:c r="B337" s="12" t="str">
        <x:v>S20</x:v>
      </x:c>
      <x:c r="C337" s="12" t="str">
        <x:v>ST-2005</x:v>
      </x:c>
      <x:c r="D337" s="12" t="str">
        <x:v>ORCHESTRATOR</x:v>
      </x:c>
      <x:c r="E337" s="12" t="str">
        <x:v>Duyệt bản công bố và kênh phản hồi</x:v>
      </x:c>
      <x:c r="F337" s="12" t="str">
        <x:v>NOT_STARTED</x:v>
      </x:c>
      <x:c r="G337" s="12" t="str">
        <x:v>T-140501, T-140502, T-140503, T-140504, T-140505, T-180401, T-180402, T-180403, T-180404, T-180405, T-200401, T-200402, T-200403, T-200404, T-200405, T-200503</x:v>
      </x:c>
      <x:c r="H337" s="12" t="str">
        <x:v>reports/S20/marketing_review.md</x:v>
      </x:c>
      <x:c r="I337" s="12" t="str">
        <x:v>ARTIFACT_REVIEW</x:v>
      </x:c>
      <x:c r="J337" s="12" t="str">
        <x:v>S</x:v>
      </x:c>
      <x:c r="K337" s="12" t="str">
        <x:v>reports/tasks/T-200504/evidence.json</x:v>
      </x:c>
      <x:c r="L337" s="12" t="str">
        <x:v>tasks/T-200504.md</x:v>
      </x:c>
      <x:c r="M337" s="12" t="str">
        <x:v>none</x:v>
      </x:c>
    </x:row>
    <x:row r="338" ht="58" customHeight="1">
      <x:c r="A338" s="12" t="str">
        <x:v>T-200505</x:v>
      </x:c>
      <x:c r="B338" s="12" t="str">
        <x:v>S20</x:v>
      </x:c>
      <x:c r="C338" s="12" t="str">
        <x:v>ST-2005</x:v>
      </x:c>
      <x:c r="D338" s="12" t="str">
        <x:v>GAMEPLAY_AGENT</x:v>
      </x:c>
      <x:c r="E338" s="12" t="str">
        <x:v>Ghi chỉ số thực và quyết định thông điệp kế tiếp</x:v>
      </x:c>
      <x:c r="F338" s="12" t="str">
        <x:v>NOT_STARTED</x:v>
      </x:c>
      <x:c r="G338" s="12" t="str">
        <x:v>T-140501, T-140502, T-140503, T-140504, T-140505, T-180401, T-180402, T-180403, T-180404, T-180405, T-200504</x:v>
      </x:c>
      <x:c r="H338" s="12" t="str">
        <x:v>reports/S20/marketing_metrics.csv</x:v>
      </x:c>
      <x:c r="I338" s="12" t="str">
        <x:v>ARTIFACT_REVIEW, ENGINE_TEST</x:v>
      </x:c>
      <x:c r="J338" s="12" t="str">
        <x:v>S</x:v>
      </x:c>
      <x:c r="K338" s="12" t="str">
        <x:v>reports/tasks/T-200505/evidence.json</x:v>
      </x:c>
      <x:c r="L338" s="12" t="str">
        <x:v>tasks/T-200505.md</x:v>
      </x:c>
      <x:c r="M338" s="12" t="str">
        <x:v>none</x:v>
      </x:c>
    </x:row>
    <x:row r="339" ht="58" customHeight="1">
      <x:c r="A339" s="12" t="str">
        <x:v>T-210101</x:v>
      </x:c>
      <x:c r="B339" s="12" t="str">
        <x:v>S21</x:v>
      </x:c>
      <x:c r="C339" s="12" t="str">
        <x:v>ST-2101</x:v>
      </x:c>
      <x:c r="D339" s="12" t="str">
        <x:v>GAMEPLAY_AGENT</x:v>
      </x:c>
      <x:c r="E339" s="12" t="str">
        <x:v>Viết beat sheet, route graph và reveal cho H06</x:v>
      </x:c>
      <x:c r="F339" s="12" t="str">
        <x:v>NOT_STARTED</x:v>
      </x:c>
      <x:c r="G339" s="12" t="str">
        <x:v>T-200401, T-200402, T-200403, T-200404, T-200405</x:v>
      </x:c>
      <x:c r="H339" s="12" t="str">
        <x:v>docs/chapters/ch06.md</x:v>
      </x:c>
      <x:c r="I339" s="12" t="str">
        <x:v>ARTIFACT_REVIEW, ENGINE_TEST</x:v>
      </x:c>
      <x:c r="J339" s="12" t="str">
        <x:v>M</x:v>
      </x:c>
      <x:c r="K339" s="12" t="str">
        <x:v>reports/tasks/T-210101/evidence.json</x:v>
      </x:c>
      <x:c r="L339" s="12" t="str">
        <x:v>tasks/T-210101.md</x:v>
      </x:c>
      <x:c r="M339" s="12" t="str">
        <x:v>none</x:v>
      </x:c>
    </x:row>
    <x:row r="340" ht="58" customHeight="1">
      <x:c r="A340" s="12" t="str">
        <x:v>T-210102</x:v>
      </x:c>
      <x:c r="B340" s="12" t="str">
        <x:v>S21</x:v>
      </x:c>
      <x:c r="C340" s="12" t="str">
        <x:v>ST-2101</x:v>
      </x:c>
      <x:c r="D340" s="12" t="str">
        <x:v>GAMEPLAY_AGENT</x:v>
      </x:c>
      <x:c r="E340" s="12" t="str">
        <x:v>Blockout H06 / lối tháp / buồng chuông</x:v>
      </x:c>
      <x:c r="F340" s="12" t="str">
        <x:v>NOT_STARTED</x:v>
      </x:c>
      <x:c r="G340" s="12" t="str">
        <x:v>T-200401, T-200402, T-200403, T-200404, T-200405, T-210101</x:v>
      </x:c>
      <x:c r="H340" s="12" t="str">
        <x:v>scenes/levels/ch06/ch06_level.tscn</x:v>
      </x:c>
      <x:c r="I340" s="12" t="str">
        <x:v>ARTIFACT_REVIEW, ENGINE_TEST</x:v>
      </x:c>
      <x:c r="J340" s="12" t="str">
        <x:v>L</x:v>
      </x:c>
      <x:c r="K340" s="12" t="str">
        <x:v>reports/tasks/T-210102/evidence.json</x:v>
      </x:c>
      <x:c r="L340" s="12" t="str">
        <x:v>tasks/T-210102.md</x:v>
      </x:c>
      <x:c r="M340" s="12" t="str">
        <x:v>none</x:v>
      </x:c>
    </x:row>
    <x:row r="341" ht="58" customHeight="1">
      <x:c r="A341" s="12" t="str">
        <x:v>T-210103</x:v>
      </x:c>
      <x:c r="B341" s="12" t="str">
        <x:v>S21</x:v>
      </x:c>
      <x:c r="C341" s="12" t="str">
        <x:v>ST-2101</x:v>
      </x:c>
      <x:c r="D341" s="12" t="str">
        <x:v>GAMEPLAY_AGENT</x:v>
      </x:c>
      <x:c r="E341" s="12" t="str">
        <x:v>Gắn ChapterManifest, house erasure và hub exits H06</x:v>
      </x:c>
      <x:c r="F341" s="12" t="str">
        <x:v>NOT_STARTED</x:v>
      </x:c>
      <x:c r="G341" s="12" t="str">
        <x:v>T-200401, T-200402, T-200403, T-200404, T-200405, T-210102</x:v>
      </x:c>
      <x:c r="H341" s="12" t="str">
        <x:v>data/chapters/ch06.tres</x:v>
      </x:c>
      <x:c r="I341" s="12" t="str">
        <x:v>ARTIFACT_REVIEW, ENGINE_TEST</x:v>
      </x:c>
      <x:c r="J341" s="12" t="str">
        <x:v>M</x:v>
      </x:c>
      <x:c r="K341" s="12" t="str">
        <x:v>reports/tasks/T-210103/evidence.json</x:v>
      </x:c>
      <x:c r="L341" s="12" t="str">
        <x:v>tasks/T-210103.md</x:v>
      </x:c>
      <x:c r="M341" s="12" t="str">
        <x:v>none</x:v>
      </x:c>
    </x:row>
    <x:row r="342" ht="58" customHeight="1">
      <x:c r="A342" s="12" t="str">
        <x:v>T-210104</x:v>
      </x:c>
      <x:c r="B342" s="12" t="str">
        <x:v>S21</x:v>
      </x:c>
      <x:c r="C342" s="12" t="str">
        <x:v>ST-2101</x:v>
      </x:c>
      <x:c r="D342" s="12" t="str">
        <x:v>QA_AGENT</x:v>
      </x:c>
      <x:c r="E342" s="12" t="str">
        <x:v>Test load checkpoint và đi lại trong H06</x:v>
      </x:c>
      <x:c r="F342" s="12" t="str">
        <x:v>NOT_STARTED</x:v>
      </x:c>
      <x:c r="G342" s="12" t="str">
        <x:v>T-200401, T-200402, T-200403, T-200404, T-200405, T-210103</x:v>
      </x:c>
      <x:c r="H342" s="12" t="str">
        <x:v>reports/S21/ch06_traversal.md</x:v>
      </x:c>
      <x:c r="I342" s="12" t="str">
        <x:v>ARTIFACT_REVIEW, ENGINE_TEST, RENDERED_RUNTIME</x:v>
      </x:c>
      <x:c r="J342" s="12" t="str">
        <x:v>S</x:v>
      </x:c>
      <x:c r="K342" s="12" t="str">
        <x:v>reports/tasks/T-210104/evidence.json</x:v>
      </x:c>
      <x:c r="L342" s="12" t="str">
        <x:v>tasks/T-210104.md</x:v>
      </x:c>
      <x:c r="M342" s="12" t="str">
        <x:v>none</x:v>
      </x:c>
    </x:row>
    <x:row r="343" ht="58" customHeight="1">
      <x:c r="A343" s="12" t="str">
        <x:v>T-210201</x:v>
      </x:c>
      <x:c r="B343" s="12" t="str">
        <x:v>S21</x:v>
      </x:c>
      <x:c r="C343" s="12" t="str">
        <x:v>ST-2102</x:v>
      </x:c>
      <x:c r="D343" s="12" t="str">
        <x:v>GAMEPLAY_AGENT</x:v>
      </x:c>
      <x:c r="E343" s="12" t="str">
        <x:v>Đặc tả state graph và hint của P22</x:v>
      </x:c>
      <x:c r="F343" s="12" t="str">
        <x:v>NOT_STARTED</x:v>
      </x:c>
      <x:c r="G343" s="12" t="str">
        <x:v>T-210101, T-210102, T-210103, T-210104</x:v>
      </x:c>
      <x:c r="H343" s="12" t="str">
        <x:v>docs/puzzles/P22.md</x:v>
      </x:c>
      <x:c r="I343" s="12" t="str">
        <x:v>ARTIFACT_REVIEW, ENGINE_TEST</x:v>
      </x:c>
      <x:c r="J343" s="12" t="str">
        <x:v>M</x:v>
      </x:c>
      <x:c r="K343" s="12" t="str">
        <x:v>reports/tasks/T-210201/evidence.json</x:v>
      </x:c>
      <x:c r="L343" s="12" t="str">
        <x:v>tasks/T-210201.md</x:v>
      </x:c>
      <x:c r="M343" s="12" t="str">
        <x:v>none</x:v>
      </x:c>
    </x:row>
    <x:row r="344" ht="58" customHeight="1">
      <x:c r="A344" s="12" t="str">
        <x:v>T-210202</x:v>
      </x:c>
      <x:c r="B344" s="12" t="str">
        <x:v>S21</x:v>
      </x:c>
      <x:c r="C344" s="12" t="str">
        <x:v>ST-2102</x:v>
      </x:c>
      <x:c r="D344" s="12" t="str">
        <x:v>GAMEPLAY_AGENT</x:v>
      </x:c>
      <x:c r="E344" s="12" t="str">
        <x:v>Implement tương tác và điều kiện P22</x:v>
      </x:c>
      <x:c r="F344" s="12" t="str">
        <x:v>NOT_STARTED</x:v>
      </x:c>
      <x:c r="G344" s="12" t="str">
        <x:v>T-210101, T-210102, T-210103, T-210104, T-210201</x:v>
      </x:c>
      <x:c r="H344" s="12" t="str">
        <x:v>data/puzzles/P22.tres; scenes/puzzles/P22.tscn</x:v>
      </x:c>
      <x:c r="I344" s="12" t="str">
        <x:v>ARTIFACT_REVIEW, ENGINE_TEST</x:v>
      </x:c>
      <x:c r="J344" s="12" t="str">
        <x:v>L</x:v>
      </x:c>
      <x:c r="K344" s="12" t="str">
        <x:v>reports/tasks/T-210202/evidence.json</x:v>
      </x:c>
      <x:c r="L344" s="12" t="str">
        <x:v>tasks/T-210202.md</x:v>
      </x:c>
      <x:c r="M344" s="12" t="str">
        <x:v>none</x:v>
      </x:c>
    </x:row>
    <x:row r="345" ht="58" customHeight="1">
      <x:c r="A345" s="12" t="str">
        <x:v>T-210203</x:v>
      </x:c>
      <x:c r="B345" s="12" t="str">
        <x:v>S21</x:v>
      </x:c>
      <x:c r="C345" s="12" t="str">
        <x:v>ST-2102</x:v>
      </x:c>
      <x:c r="D345" s="12" t="str">
        <x:v>GAMEPLAY_AGENT</x:v>
      </x:c>
      <x:c r="E345" s="12" t="str">
        <x:v>Ghép clue/reward và feedback của P22</x:v>
      </x:c>
      <x:c r="F345" s="12" t="str">
        <x:v>NOT_STARTED</x:v>
      </x:c>
      <x:c r="G345" s="12" t="str">
        <x:v>T-210101, T-210102, T-210103, T-210104, T-210202</x:v>
      </x:c>
      <x:c r="H345" s="12" t="str">
        <x:v>data/evidence/H06/; data/hints/ch06.tres</x:v>
      </x:c>
      <x:c r="I345" s="12" t="str">
        <x:v>ARTIFACT_REVIEW, ENGINE_TEST</x:v>
      </x:c>
      <x:c r="J345" s="12" t="str">
        <x:v>M</x:v>
      </x:c>
      <x:c r="K345" s="12" t="str">
        <x:v>reports/tasks/T-210203/evidence.json</x:v>
      </x:c>
      <x:c r="L345" s="12" t="str">
        <x:v>tasks/T-210203.md</x:v>
      </x:c>
      <x:c r="M345" s="12" t="str">
        <x:v>none</x:v>
      </x:c>
    </x:row>
    <x:row r="346" ht="58" customHeight="1">
      <x:c r="A346" s="12" t="str">
        <x:v>T-210204</x:v>
      </x:c>
      <x:c r="B346" s="12" t="str">
        <x:v>S21</x:v>
      </x:c>
      <x:c r="C346" s="12" t="str">
        <x:v>ST-2102</x:v>
      </x:c>
      <x:c r="D346" s="12" t="str">
        <x:v>QA_AGENT</x:v>
      </x:c>
      <x:c r="E346" s="12" t="str">
        <x:v>Test lời giải sai/đúng/reload P22</x:v>
      </x:c>
      <x:c r="F346" s="12" t="str">
        <x:v>NOT_STARTED</x:v>
      </x:c>
      <x:c r="G346" s="12" t="str">
        <x:v>T-210101, T-210102, T-210103, T-210104, T-210203</x:v>
      </x:c>
      <x:c r="H346" s="12" t="str">
        <x:v>reports/S21/P22_tests.md</x:v>
      </x:c>
      <x:c r="I346" s="12" t="str">
        <x:v>ARTIFACT_REVIEW, ENGINE_TEST, RENDERED_RUNTIME</x:v>
      </x:c>
      <x:c r="J346" s="12" t="str">
        <x:v>S</x:v>
      </x:c>
      <x:c r="K346" s="12" t="str">
        <x:v>reports/tasks/T-210204/evidence.json</x:v>
      </x:c>
      <x:c r="L346" s="12" t="str">
        <x:v>tasks/T-210204.md</x:v>
      </x:c>
      <x:c r="M346" s="12" t="str">
        <x:v>none</x:v>
      </x:c>
    </x:row>
    <x:row r="347" ht="58" customHeight="1">
      <x:c r="A347" s="12" t="str">
        <x:v>T-210301</x:v>
      </x:c>
      <x:c r="B347" s="12" t="str">
        <x:v>S21</x:v>
      </x:c>
      <x:c r="C347" s="12" t="str">
        <x:v>ST-2103</x:v>
      </x:c>
      <x:c r="D347" s="12" t="str">
        <x:v>ART_AGENT</x:v>
      </x:c>
      <x:c r="E347" s="12" t="str">
        <x:v>Dựng layout art từ greybox H06</x:v>
      </x:c>
      <x:c r="F347" s="12" t="str">
        <x:v>NOT_STARTED</x:v>
      </x:c>
      <x:c r="G347" s="12" t="str">
        <x:v>T-110301, T-110302, T-110303, T-110304, T-210101, T-210102, T-210103, T-210104</x:v>
      </x:c>
      <x:c r="H347" s="12" t="str">
        <x:v>art/source/ch06_layout.blend</x:v>
      </x:c>
      <x:c r="I347" s="12" t="str">
        <x:v>ARTIFACT_REVIEW, RENDERED_RUNTIME</x:v>
      </x:c>
      <x:c r="J347" s="12" t="str">
        <x:v>L</x:v>
      </x:c>
      <x:c r="K347" s="12" t="str">
        <x:v>reports/tasks/T-210301/evidence.json</x:v>
      </x:c>
      <x:c r="L347" s="12" t="str">
        <x:v>tasks/T-210301.md</x:v>
      </x:c>
      <x:c r="M347" s="12" t="str">
        <x:v>none</x:v>
      </x:c>
    </x:row>
    <x:row r="348" ht="58" customHeight="1">
      <x:c r="A348" s="12" t="str">
        <x:v>T-210302</x:v>
      </x:c>
      <x:c r="B348" s="12" t="str">
        <x:v>S21</x:v>
      </x:c>
      <x:c r="C348" s="12" t="str">
        <x:v>ST-2103</x:v>
      </x:c>
      <x:c r="D348" s="12" t="str">
        <x:v>ART_AGENT</x:v>
      </x:c>
      <x:c r="E348" s="12" t="str">
        <x:v>Dựng nhóm prop puzzle P22/P23</x:v>
      </x:c>
      <x:c r="F348" s="12" t="str">
        <x:v>NOT_STARTED</x:v>
      </x:c>
      <x:c r="G348" s="12" t="str">
        <x:v>T-110301, T-110302, T-110303, T-110304, T-210101, T-210102, T-210103, T-210104, T-210301</x:v>
      </x:c>
      <x:c r="H348" s="12" t="str">
        <x:v>art/export/props/ch06/</x:v>
      </x:c>
      <x:c r="I348" s="12" t="str">
        <x:v>ARTIFACT_REVIEW, RENDERED_RUNTIME</x:v>
      </x:c>
      <x:c r="J348" s="12" t="str">
        <x:v>L</x:v>
      </x:c>
      <x:c r="K348" s="12" t="str">
        <x:v>reports/tasks/T-210302/evidence.json</x:v>
      </x:c>
      <x:c r="L348" s="12" t="str">
        <x:v>tasks/T-210302.md</x:v>
      </x:c>
      <x:c r="M348" s="12" t="str">
        <x:v>none</x:v>
      </x:c>
    </x:row>
    <x:row r="349" ht="58" customHeight="1">
      <x:c r="A349" s="12" t="str">
        <x:v>T-210303</x:v>
      </x:c>
      <x:c r="B349" s="12" t="str">
        <x:v>S21</x:v>
      </x:c>
      <x:c r="C349" s="12" t="str">
        <x:v>ST-2103</x:v>
      </x:c>
      <x:c r="D349" s="12" t="str">
        <x:v>ART_AGENT</x:v>
      </x:c>
      <x:c r="E349" s="12" t="str">
        <x:v>Chuẩn bị variant REAL/ERASED cho H06</x:v>
      </x:c>
      <x:c r="F349" s="12" t="str">
        <x:v>NOT_STARTED</x:v>
      </x:c>
      <x:c r="G349" s="12" t="str">
        <x:v>T-110301, T-110302, T-110303, T-110304, T-210101, T-210102, T-210103, T-210104, T-210302</x:v>
      </x:c>
      <x:c r="H349" s="12" t="str">
        <x:v>art/export/environment/ch06/</x:v>
      </x:c>
      <x:c r="I349" s="12" t="str">
        <x:v>ARTIFACT_REVIEW, RENDERED_RUNTIME</x:v>
      </x:c>
      <x:c r="J349" s="12" t="str">
        <x:v>L</x:v>
      </x:c>
      <x:c r="K349" s="12" t="str">
        <x:v>reports/tasks/T-210303/evidence.json</x:v>
      </x:c>
      <x:c r="L349" s="12" t="str">
        <x:v>tasks/T-210303.md</x:v>
      </x:c>
      <x:c r="M349" s="12" t="str">
        <x:v>none</x:v>
      </x:c>
    </x:row>
    <x:row r="350" ht="58" customHeight="1">
      <x:c r="A350" s="12" t="str">
        <x:v>T-210304</x:v>
      </x:c>
      <x:c r="B350" s="12" t="str">
        <x:v>S21</x:v>
      </x:c>
      <x:c r="C350" s="12" t="str">
        <x:v>ST-2103</x:v>
      </x:c>
      <x:c r="D350" s="12" t="str">
        <x:v>ORCHESTRATOR</x:v>
      </x:c>
      <x:c r="E350" s="12" t="str">
        <x:v>Import art đầu và kiểm tra collision H06</x:v>
      </x:c>
      <x:c r="F350" s="12" t="str">
        <x:v>NOT_STARTED</x:v>
      </x:c>
      <x:c r="G350" s="12" t="str">
        <x:v>T-110301, T-110302, T-110303, T-110304, T-210101, T-210102, T-210103, T-210104, T-210303</x:v>
      </x:c>
      <x:c r="H350" s="12" t="str">
        <x:v>reports/S21/ch06_asset_review.md</x:v>
      </x:c>
      <x:c r="I350" s="12" t="str">
        <x:v>ARTIFACT_REVIEW</x:v>
      </x:c>
      <x:c r="J350" s="12" t="str">
        <x:v>M</x:v>
      </x:c>
      <x:c r="K350" s="12" t="str">
        <x:v>reports/tasks/T-210304/evidence.json</x:v>
      </x:c>
      <x:c r="L350" s="12" t="str">
        <x:v>tasks/T-210304.md</x:v>
      </x:c>
      <x:c r="M350" s="12" t="str">
        <x:v>none</x:v>
      </x:c>
    </x:row>
    <x:row r="351" ht="58" customHeight="1">
      <x:c r="A351" s="12" t="str">
        <x:v>T-210401</x:v>
      </x:c>
      <x:c r="B351" s="12" t="str">
        <x:v>S21</x:v>
      </x:c>
      <x:c r="C351" s="12" t="str">
        <x:v>ST-2104</x:v>
      </x:c>
      <x:c r="D351" s="12" t="str">
        <x:v>GAMEPLAY_AGENT</x:v>
      </x:c>
      <x:c r="E351" s="12" t="str">
        <x:v>Implement state graph và tương tác P23</x:v>
      </x:c>
      <x:c r="F351" s="12" t="str">
        <x:v>NOT_STARTED</x:v>
      </x:c>
      <x:c r="G351" s="12" t="str">
        <x:v>T-210201, T-210202, T-210203, T-210204, T-210301, T-210302, T-210303, T-210304</x:v>
      </x:c>
      <x:c r="H351" s="12" t="str">
        <x:v>docs/puzzles/P23.md; data/puzzles/P23.tres</x:v>
      </x:c>
      <x:c r="I351" s="12" t="str">
        <x:v>ARTIFACT_REVIEW, ENGINE_TEST</x:v>
      </x:c>
      <x:c r="J351" s="12" t="str">
        <x:v>L</x:v>
      </x:c>
      <x:c r="K351" s="12" t="str">
        <x:v>reports/tasks/T-210401/evidence.json</x:v>
      </x:c>
      <x:c r="L351" s="12" t="str">
        <x:v>tasks/T-210401.md</x:v>
      </x:c>
      <x:c r="M351" s="12" t="str">
        <x:v>none</x:v>
      </x:c>
    </x:row>
    <x:row r="352" ht="58" customHeight="1">
      <x:c r="A352" s="12" t="str">
        <x:v>T-210402</x:v>
      </x:c>
      <x:c r="B352" s="12" t="str">
        <x:v>S21</x:v>
      </x:c>
      <x:c r="C352" s="12" t="str">
        <x:v>ST-2104</x:v>
      </x:c>
      <x:c r="D352" s="12" t="str">
        <x:v>GAMEPLAY_AGENT</x:v>
      </x:c>
      <x:c r="E352" s="12" t="str">
        <x:v>Dựng nhánh M06 — Bản ghi đối trọng chỉ tuyến thoát từ tháp</x:v>
      </x:c>
      <x:c r="F352" s="12" t="str">
        <x:v>NOT_STARTED</x:v>
      </x:c>
      <x:c r="G352" s="12" t="str">
        <x:v>T-210201, T-210202, T-210203, T-210204, T-210301, T-210302, T-210303, T-210304, T-210401</x:v>
      </x:c>
      <x:c r="H352" s="12" t="str">
        <x:v>data/evidence/M06.tres; scenes/levels/ch06/</x:v>
      </x:c>
      <x:c r="I352" s="12" t="str">
        <x:v>ARTIFACT_REVIEW, ENGINE_TEST</x:v>
      </x:c>
      <x:c r="J352" s="12" t="str">
        <x:v>L</x:v>
      </x:c>
      <x:c r="K352" s="12" t="str">
        <x:v>reports/tasks/T-210402/evidence.json</x:v>
      </x:c>
      <x:c r="L352" s="12" t="str">
        <x:v>tasks/T-210402.md</x:v>
      </x:c>
      <x:c r="M352" s="12" t="str">
        <x:v>none</x:v>
      </x:c>
    </x:row>
    <x:row r="353" ht="58" customHeight="1">
      <x:c r="A353" s="12" t="str">
        <x:v>T-210403</x:v>
      </x:c>
      <x:c r="B353" s="12" t="str">
        <x:v>S21</x:v>
      </x:c>
      <x:c r="C353" s="12" t="str">
        <x:v>ST-2104</x:v>
      </x:c>
      <x:c r="D353" s="12" t="str">
        <x:v>GAMEPLAY_AGENT</x:v>
      </x:c>
      <x:c r="E353" s="12" t="str">
        <x:v>Ghép completion và handoff CH6→CH7</x:v>
      </x:c>
      <x:c r="F353" s="12" t="str">
        <x:v>NOT_STARTED</x:v>
      </x:c>
      <x:c r="G353" s="12" t="str">
        <x:v>T-210201, T-210202, T-210203, T-210204, T-210301, T-210302, T-210303, T-210304, T-210402</x:v>
      </x:c>
      <x:c r="H353" s="12" t="str">
        <x:v>data/story/ch06_handoff.tres</x:v>
      </x:c>
      <x:c r="I353" s="12" t="str">
        <x:v>ARTIFACT_REVIEW, ENGINE_TEST</x:v>
      </x:c>
      <x:c r="J353" s="12" t="str">
        <x:v>M</x:v>
      </x:c>
      <x:c r="K353" s="12" t="str">
        <x:v>reports/tasks/T-210403/evidence.json</x:v>
      </x:c>
      <x:c r="L353" s="12" t="str">
        <x:v>tasks/T-210403.md</x:v>
      </x:c>
      <x:c r="M353" s="12" t="str">
        <x:v>none</x:v>
      </x:c>
    </x:row>
    <x:row r="354" ht="58" customHeight="1">
      <x:c r="A354" s="12" t="str">
        <x:v>T-210404</x:v>
      </x:c>
      <x:c r="B354" s="12" t="str">
        <x:v>S21</x:v>
      </x:c>
      <x:c r="C354" s="12" t="str">
        <x:v>ST-2104</x:v>
      </x:c>
      <x:c r="D354" s="12" t="str">
        <x:v>QA_AGENT</x:v>
      </x:c>
      <x:c r="E354" s="12" t="str">
        <x:v>Test greybox chapter H06 từ cold start</x:v>
      </x:c>
      <x:c r="F354" s="12" t="str">
        <x:v>NOT_STARTED</x:v>
      </x:c>
      <x:c r="G354" s="12" t="str">
        <x:v>T-210201, T-210202, T-210203, T-210204, T-210301, T-210302, T-210303, T-210304, T-210403</x:v>
      </x:c>
      <x:c r="H354" s="12" t="str">
        <x:v>reports/S21/ch06_greybox.md</x:v>
      </x:c>
      <x:c r="I354" s="12" t="str">
        <x:v>ARTIFACT_REVIEW, ENGINE_TEST, RENDERED_RUNTIME</x:v>
      </x:c>
      <x:c r="J354" s="12" t="str">
        <x:v>S</x:v>
      </x:c>
      <x:c r="K354" s="12" t="str">
        <x:v>reports/tasks/T-210404/evidence.json</x:v>
      </x:c>
      <x:c r="L354" s="12" t="str">
        <x:v>tasks/T-210404.md</x:v>
      </x:c>
      <x:c r="M354" s="12" t="str">
        <x:v>none</x:v>
      </x:c>
    </x:row>
    <x:row r="355" ht="58" customHeight="1">
      <x:c r="A355" s="12" t="str">
        <x:v>T-220101</x:v>
      </x:c>
      <x:c r="B355" s="12" t="str">
        <x:v>S22</x:v>
      </x:c>
      <x:c r="C355" s="12" t="str">
        <x:v>ST-2201</x:v>
      </x:c>
      <x:c r="D355" s="12" t="str">
        <x:v>NARRATIVE_AGENT</x:v>
      </x:c>
      <x:c r="E355" s="12" t="str">
        <x:v>Viết final dialogue, inspect text và captions H06</x:v>
      </x:c>
      <x:c r="F355" s="12" t="str">
        <x:v>NOT_STARTED</x:v>
      </x:c>
      <x:c r="G355" s="12" t="str">
        <x:v>T-210401, T-210402, T-210403, T-210404</x:v>
      </x:c>
      <x:c r="H355" s="12" t="str">
        <x:v>data/dialogue/ch06/; localization/vi.csv</x:v>
      </x:c>
      <x:c r="I355" s="12" t="str">
        <x:v>ARTIFACT_REVIEW</x:v>
      </x:c>
      <x:c r="J355" s="12" t="str">
        <x:v>M</x:v>
      </x:c>
      <x:c r="K355" s="12" t="str">
        <x:v>reports/tasks/T-220101/evidence.json</x:v>
      </x:c>
      <x:c r="L355" s="12" t="str">
        <x:v>tasks/T-220101.md</x:v>
      </x:c>
      <x:c r="M355" s="12" t="str">
        <x:v>none</x:v>
      </x:c>
    </x:row>
    <x:row r="356" ht="58" customHeight="1">
      <x:c r="A356" s="12" t="str">
        <x:v>T-220102</x:v>
      </x:c>
      <x:c r="B356" s="12" t="str">
        <x:v>S22</x:v>
      </x:c>
      <x:c r="C356" s="12" t="str">
        <x:v>ST-2201</x:v>
      </x:c>
      <x:c r="D356" s="12" t="str">
        <x:v>GAMEPLAY_AGENT</x:v>
      </x:c>
      <x:c r="E356" s="12" t="str">
        <x:v>Ghép trigger diễn xuất và camera focus H06</x:v>
      </x:c>
      <x:c r="F356" s="12" t="str">
        <x:v>NOT_STARTED</x:v>
      </x:c>
      <x:c r="G356" s="12" t="str">
        <x:v>T-210401, T-210402, T-210403, T-210404, T-220101</x:v>
      </x:c>
      <x:c r="H356" s="12" t="str">
        <x:v>data/sequences/ch06/; scenes/levels/ch06/</x:v>
      </x:c>
      <x:c r="I356" s="12" t="str">
        <x:v>ARTIFACT_REVIEW, ENGINE_TEST, RENDERED_RUNTIME</x:v>
      </x:c>
      <x:c r="J356" s="12" t="str">
        <x:v>L</x:v>
      </x:c>
      <x:c r="K356" s="12" t="str">
        <x:v>reports/tasks/T-220102/evidence.json</x:v>
      </x:c>
      <x:c r="L356" s="12" t="str">
        <x:v>tasks/T-220102.md</x:v>
      </x:c>
      <x:c r="M356" s="12" t="str">
        <x:v>none</x:v>
      </x:c>
    </x:row>
    <x:row r="357" ht="58" customHeight="1">
      <x:c r="A357" s="12" t="str">
        <x:v>T-220103</x:v>
      </x:c>
      <x:c r="B357" s="12" t="str">
        <x:v>S22</x:v>
      </x:c>
      <x:c r="C357" s="12" t="str">
        <x:v>ST-2201</x:v>
      </x:c>
      <x:c r="D357" s="12" t="str">
        <x:v>GAMEPLAY_AGENT</x:v>
      </x:c>
      <x:c r="E357" s="12" t="str">
        <x:v>Cấu hình nhịp encounter hoặc nghỉ nhịp H06</x:v>
      </x:c>
      <x:c r="F357" s="12" t="str">
        <x:v>NOT_STARTED</x:v>
      </x:c>
      <x:c r="G357" s="12" t="str">
        <x:v>T-210401, T-210402, T-210403, T-210404, T-220102</x:v>
      </x:c>
      <x:c r="H357" s="12" t="str">
        <x:v>data/encounters/ch06.tres</x:v>
      </x:c>
      <x:c r="I357" s="12" t="str">
        <x:v>ARTIFACT_REVIEW, ENGINE_TEST</x:v>
      </x:c>
      <x:c r="J357" s="12" t="str">
        <x:v>M</x:v>
      </x:c>
      <x:c r="K357" s="12" t="str">
        <x:v>reports/tasks/T-220103/evidence.json</x:v>
      </x:c>
      <x:c r="L357" s="12" t="str">
        <x:v>tasks/T-220103.md</x:v>
      </x:c>
      <x:c r="M357" s="12" t="str">
        <x:v>none</x:v>
      </x:c>
    </x:row>
    <x:row r="358" ht="58" customHeight="1">
      <x:c r="A358" s="12" t="str">
        <x:v>T-220104</x:v>
      </x:c>
      <x:c r="B358" s="12" t="str">
        <x:v>S22</x:v>
      </x:c>
      <x:c r="C358" s="12" t="str">
        <x:v>ST-2201</x:v>
      </x:c>
      <x:c r="D358" s="12" t="str">
        <x:v>GAMEPLAY_AGENT</x:v>
      </x:c>
      <x:c r="E358" s="12" t="str">
        <x:v>Kiểm tra reveal và skip/reload H06</x:v>
      </x:c>
      <x:c r="F358" s="12" t="str">
        <x:v>NOT_STARTED</x:v>
      </x:c>
      <x:c r="G358" s="12" t="str">
        <x:v>T-210401, T-210402, T-210403, T-210404, T-220103</x:v>
      </x:c>
      <x:c r="H358" s="12" t="str">
        <x:v>reports/S22/ch06_narrative.md</x:v>
      </x:c>
      <x:c r="I358" s="12" t="str">
        <x:v>ARTIFACT_REVIEW, ENGINE_TEST</x:v>
      </x:c>
      <x:c r="J358" s="12" t="str">
        <x:v>S</x:v>
      </x:c>
      <x:c r="K358" s="12" t="str">
        <x:v>reports/tasks/T-220104/evidence.json</x:v>
      </x:c>
      <x:c r="L358" s="12" t="str">
        <x:v>tasks/T-220104.md</x:v>
      </x:c>
      <x:c r="M358" s="12" t="str">
        <x:v>none</x:v>
      </x:c>
    </x:row>
    <x:row r="359" ht="58" customHeight="1">
      <x:c r="A359" s="12" t="str">
        <x:v>T-220201</x:v>
      </x:c>
      <x:c r="B359" s="12" t="str">
        <x:v>S22</x:v>
      </x:c>
      <x:c r="C359" s="12" t="str">
        <x:v>ST-2202</x:v>
      </x:c>
      <x:c r="D359" s="12" t="str">
        <x:v>ART_AGENT</x:v>
      </x:c>
      <x:c r="E359" s="12" t="str">
        <x:v>Hoàn thiện material/lighting môi trường H06</x:v>
      </x:c>
      <x:c r="F359" s="12" t="str">
        <x:v>NOT_STARTED</x:v>
      </x:c>
      <x:c r="G359" s="12" t="str">
        <x:v>T-210301, T-210302, T-210303, T-210304, T-220101, T-220102, T-220103, T-220104</x:v>
      </x:c>
      <x:c r="H359" s="12" t="str">
        <x:v>art/export/environment/ch06_final/</x:v>
      </x:c>
      <x:c r="I359" s="12" t="str">
        <x:v>ARTIFACT_REVIEW, RENDERED_RUNTIME</x:v>
      </x:c>
      <x:c r="J359" s="12" t="str">
        <x:v>L</x:v>
      </x:c>
      <x:c r="K359" s="12" t="str">
        <x:v>reports/tasks/T-220201/evidence.json</x:v>
      </x:c>
      <x:c r="L359" s="12" t="str">
        <x:v>tasks/T-220201.md</x:v>
      </x:c>
      <x:c r="M359" s="12" t="str">
        <x:v>none</x:v>
      </x:c>
    </x:row>
    <x:row r="360" ht="58" customHeight="1">
      <x:c r="A360" s="12" t="str">
        <x:v>T-220202</x:v>
      </x:c>
      <x:c r="B360" s="12" t="str">
        <x:v>S22</x:v>
      </x:c>
      <x:c r="C360" s="12" t="str">
        <x:v>ST-2202</x:v>
      </x:c>
      <x:c r="D360" s="12" t="str">
        <x:v>ART_AGENT</x:v>
      </x:c>
      <x:c r="E360" s="12" t="str">
        <x:v>Hoàn thiện props/NPC diễn xuất trọng tâm H06</x:v>
      </x:c>
      <x:c r="F360" s="12" t="str">
        <x:v>NOT_STARTED</x:v>
      </x:c>
      <x:c r="G360" s="12" t="str">
        <x:v>T-210301, T-210302, T-210303, T-210304, T-220101, T-220102, T-220103, T-220104, T-220201</x:v>
      </x:c>
      <x:c r="H360" s="12" t="str">
        <x:v>art/export/characters/ch06/; art/export/props/ch06/</x:v>
      </x:c>
      <x:c r="I360" s="12" t="str">
        <x:v>ARTIFACT_REVIEW, RENDERED_RUNTIME</x:v>
      </x:c>
      <x:c r="J360" s="12" t="str">
        <x:v>L</x:v>
      </x:c>
      <x:c r="K360" s="12" t="str">
        <x:v>reports/tasks/T-220202/evidence.json</x:v>
      </x:c>
      <x:c r="L360" s="12" t="str">
        <x:v>tasks/T-220202.md</x:v>
      </x:c>
      <x:c r="M360" s="12" t="str">
        <x:v>none</x:v>
      </x:c>
    </x:row>
    <x:row r="361" ht="58" customHeight="1">
      <x:c r="A361" s="12" t="str">
        <x:v>T-220203</x:v>
      </x:c>
      <x:c r="B361" s="12" t="str">
        <x:v>S22</x:v>
      </x:c>
      <x:c r="C361" s="12" t="str">
        <x:v>ST-2202</x:v>
      </x:c>
      <x:c r="D361" s="12" t="str">
        <x:v>ART_AGENT</x:v>
      </x:c>
      <x:c r="E361" s="12" t="str">
        <x:v>Set dress và kiểm tra silhouette H06</x:v>
      </x:c>
      <x:c r="F361" s="12" t="str">
        <x:v>NOT_STARTED</x:v>
      </x:c>
      <x:c r="G361" s="12" t="str">
        <x:v>T-210301, T-210302, T-210303, T-210304, T-220101, T-220102, T-220103, T-220104, T-220202</x:v>
      </x:c>
      <x:c r="H361" s="12" t="str">
        <x:v>art/lighting/ch06/</x:v>
      </x:c>
      <x:c r="I361" s="12" t="str">
        <x:v>ARTIFACT_REVIEW, RENDERED_RUNTIME</x:v>
      </x:c>
      <x:c r="J361" s="12" t="str">
        <x:v>L</x:v>
      </x:c>
      <x:c r="K361" s="12" t="str">
        <x:v>reports/tasks/T-220203/evidence.json</x:v>
      </x:c>
      <x:c r="L361" s="12" t="str">
        <x:v>tasks/T-220203.md</x:v>
      </x:c>
      <x:c r="M361" s="12" t="str">
        <x:v>none</x:v>
      </x:c>
    </x:row>
    <x:row r="362" ht="58" customHeight="1">
      <x:c r="A362" s="12" t="str">
        <x:v>T-220204</x:v>
      </x:c>
      <x:c r="B362" s="12" t="str">
        <x:v>S22</x:v>
      </x:c>
      <x:c r="C362" s="12" t="str">
        <x:v>ST-2202</x:v>
      </x:c>
      <x:c r="D362" s="12" t="str">
        <x:v>GAMEPLAY_AGENT</x:v>
      </x:c>
      <x:c r="E362" s="12" t="str">
        <x:v>Ghép asset final và khóa phiên bản H06</x:v>
      </x:c>
      <x:c r="F362" s="12" t="str">
        <x:v>NOT_STARTED</x:v>
      </x:c>
      <x:c r="G362" s="12" t="str">
        <x:v>T-210301, T-210302, T-210303, T-210304, T-220101, T-220102, T-220103, T-220104, T-220203</x:v>
      </x:c>
      <x:c r="H362" s="12" t="str">
        <x:v>reports/S22/ch06_art_signoff.md</x:v>
      </x:c>
      <x:c r="I362" s="12" t="str">
        <x:v>ARTIFACT_REVIEW, ENGINE_TEST</x:v>
      </x:c>
      <x:c r="J362" s="12" t="str">
        <x:v>M</x:v>
      </x:c>
      <x:c r="K362" s="12" t="str">
        <x:v>reports/tasks/T-220204/evidence.json</x:v>
      </x:c>
      <x:c r="L362" s="12" t="str">
        <x:v>tasks/T-220204.md</x:v>
      </x:c>
      <x:c r="M362" s="12" t="str">
        <x:v>none</x:v>
      </x:c>
    </x:row>
    <x:row r="363" ht="58" customHeight="1">
      <x:c r="A363" s="12" t="str">
        <x:v>T-220301</x:v>
      </x:c>
      <x:c r="B363" s="12" t="str">
        <x:v>S22</x:v>
      </x:c>
      <x:c r="C363" s="12" t="str">
        <x:v>ST-2203</x:v>
      </x:c>
      <x:c r="D363" s="12" t="str">
        <x:v>AUDIO_AGENT</x:v>
      </x:c>
      <x:c r="E363" s="12" t="str">
        <x:v>Tạo ambience và cue đặc trưng H06</x:v>
      </x:c>
      <x:c r="F363" s="12" t="str">
        <x:v>NOT_STARTED</x:v>
      </x:c>
      <x:c r="G363" s="12" t="str">
        <x:v>T-220101, T-220102, T-220103, T-220104</x:v>
      </x:c>
      <x:c r="H363" s="12" t="str">
        <x:v>audio/ambience/ch06/; audio/cue_sheets/ch06.csv</x:v>
      </x:c>
      <x:c r="I363" s="12" t="str">
        <x:v>ARTIFACT_REVIEW, AUDIO_REVIEW</x:v>
      </x:c>
      <x:c r="J363" s="12" t="str">
        <x:v>L</x:v>
      </x:c>
      <x:c r="K363" s="12" t="str">
        <x:v>reports/tasks/T-220301/evidence.json</x:v>
      </x:c>
      <x:c r="L363" s="12" t="str">
        <x:v>tasks/T-220301.md</x:v>
      </x:c>
      <x:c r="M363" s="12" t="str">
        <x:v>none</x:v>
      </x:c>
    </x:row>
    <x:row r="364" ht="58" customHeight="1">
      <x:c r="A364" s="12" t="str">
        <x:v>T-220302</x:v>
      </x:c>
      <x:c r="B364" s="12" t="str">
        <x:v>S22</x:v>
      </x:c>
      <x:c r="C364" s="12" t="str">
        <x:v>ST-2203</x:v>
      </x:c>
      <x:c r="D364" s="12" t="str">
        <x:v>AUDIO_AGENT</x:v>
      </x:c>
      <x:c r="E364" s="12" t="str">
        <x:v>Tạo/chỉnh music stem và interaction SFX H06</x:v>
      </x:c>
      <x:c r="F364" s="12" t="str">
        <x:v>NOT_STARTED</x:v>
      </x:c>
      <x:c r="G364" s="12" t="str">
        <x:v>T-220101, T-220102, T-220103, T-220104, T-220301</x:v>
      </x:c>
      <x:c r="H364" s="12" t="str">
        <x:v>audio/music/ch06/; audio/sfx/ch06/</x:v>
      </x:c>
      <x:c r="I364" s="12" t="str">
        <x:v>ARTIFACT_REVIEW, AUDIO_REVIEW</x:v>
      </x:c>
      <x:c r="J364" s="12" t="str">
        <x:v>L</x:v>
      </x:c>
      <x:c r="K364" s="12" t="str">
        <x:v>reports/tasks/T-220302/evidence.json</x:v>
      </x:c>
      <x:c r="L364" s="12" t="str">
        <x:v>tasks/T-220302.md</x:v>
      </x:c>
      <x:c r="M364" s="12" t="str">
        <x:v>none</x:v>
      </x:c>
    </x:row>
    <x:row r="365" ht="58" customHeight="1">
      <x:c r="A365" s="12" t="str">
        <x:v>T-220303</x:v>
      </x:c>
      <x:c r="B365" s="12" t="str">
        <x:v>S22</x:v>
      </x:c>
      <x:c r="C365" s="12" t="str">
        <x:v>ST-2203</x:v>
      </x:c>
      <x:c r="D365" s="12" t="str">
        <x:v>GAMEPLAY_AGENT</x:v>
      </x:c>
      <x:c r="E365" s="12" t="str">
        <x:v>Ghép audio transitions và captions H06</x:v>
      </x:c>
      <x:c r="F365" s="12" t="str">
        <x:v>NOT_STARTED</x:v>
      </x:c>
      <x:c r="G365" s="12" t="str">
        <x:v>T-220101, T-220102, T-220103, T-220104, T-220302</x:v>
      </x:c>
      <x:c r="H365" s="12" t="str">
        <x:v>scenes/levels/ch06/; localization/captions.csv</x:v>
      </x:c>
      <x:c r="I365" s="12" t="str">
        <x:v>ARTIFACT_REVIEW, ENGINE_TEST</x:v>
      </x:c>
      <x:c r="J365" s="12" t="str">
        <x:v>L</x:v>
      </x:c>
      <x:c r="K365" s="12" t="str">
        <x:v>reports/tasks/T-220303/evidence.json</x:v>
      </x:c>
      <x:c r="L365" s="12" t="str">
        <x:v>tasks/T-220303.md</x:v>
      </x:c>
      <x:c r="M365" s="12" t="str">
        <x:v>none</x:v>
      </x:c>
    </x:row>
    <x:row r="366" ht="58" customHeight="1">
      <x:c r="A366" s="12" t="str">
        <x:v>T-220304</x:v>
      </x:c>
      <x:c r="B366" s="12" t="str">
        <x:v>S22</x:v>
      </x:c>
      <x:c r="C366" s="12" t="str">
        <x:v>ST-2203</x:v>
      </x:c>
      <x:c r="D366" s="12" t="str">
        <x:v>QA_AGENT</x:v>
      </x:c>
      <x:c r="E366" s="12" t="str">
        <x:v>Test mute/mix/pause trong H06</x:v>
      </x:c>
      <x:c r="F366" s="12" t="str">
        <x:v>NOT_STARTED</x:v>
      </x:c>
      <x:c r="G366" s="12" t="str">
        <x:v>T-220101, T-220102, T-220103, T-220104, T-220303</x:v>
      </x:c>
      <x:c r="H366" s="12" t="str">
        <x:v>reports/S22/ch06_audio.md</x:v>
      </x:c>
      <x:c r="I366" s="12" t="str">
        <x:v>ARTIFACT_REVIEW, ENGINE_TEST, RENDERED_RUNTIME</x:v>
      </x:c>
      <x:c r="J366" s="12" t="str">
        <x:v>S</x:v>
      </x:c>
      <x:c r="K366" s="12" t="str">
        <x:v>reports/tasks/T-220304/evidence.json</x:v>
      </x:c>
      <x:c r="L366" s="12" t="str">
        <x:v>tasks/T-220304.md</x:v>
      </x:c>
      <x:c r="M366" s="12" t="str">
        <x:v>none</x:v>
      </x:c>
    </x:row>
    <x:row r="367" ht="58" customHeight="1">
      <x:c r="A367" s="12" t="str">
        <x:v>T-220401</x:v>
      </x:c>
      <x:c r="B367" s="12" t="str">
        <x:v>S22</x:v>
      </x:c>
      <x:c r="C367" s="12" t="str">
        <x:v>ST-2204</x:v>
      </x:c>
      <x:c r="D367" s="12" t="str">
        <x:v>QA_AGENT</x:v>
      </x:c>
      <x:c r="E367" s="12" t="str">
        <x:v>Chạy puzzle/save/phase matrix H06</x:v>
      </x:c>
      <x:c r="F367" s="12" t="str">
        <x:v>NOT_STARTED</x:v>
      </x:c>
      <x:c r="G367" s="12" t="str">
        <x:v>T-220101, T-220102, T-220103, T-220104, T-220201, T-220202, T-220203, T-220204, T-220301, T-220302, T-220303, T-220304</x:v>
      </x:c>
      <x:c r="H367" s="12" t="str">
        <x:v>reports/S22/ch06_regression.csv</x:v>
      </x:c>
      <x:c r="I367" s="12" t="str">
        <x:v>ARTIFACT_REVIEW, ENGINE_TEST, RENDERED_RUNTIME</x:v>
      </x:c>
      <x:c r="J367" s="12" t="str">
        <x:v>L</x:v>
      </x:c>
      <x:c r="K367" s="12" t="str">
        <x:v>reports/tasks/T-220401/evidence.json</x:v>
      </x:c>
      <x:c r="L367" s="12" t="str">
        <x:v>tasks/T-220401.md</x:v>
      </x:c>
      <x:c r="M367" s="12" t="str">
        <x:v>none</x:v>
      </x:c>
    </x:row>
    <x:row r="368" ht="58" customHeight="1">
      <x:c r="A368" s="12" t="str">
        <x:v>T-220402</x:v>
      </x:c>
      <x:c r="B368" s="12" t="str">
        <x:v>S22</x:v>
      </x:c>
      <x:c r="C368" s="12" t="str">
        <x:v>ST-2204</x:v>
      </x:c>
      <x:c r="D368" s="12" t="str">
        <x:v>QA_AGENT</x:v>
      </x:c>
      <x:c r="E368" s="12" t="str">
        <x:v>Test ngoài nhóm và quan sát đường chơi H06</x:v>
      </x:c>
      <x:c r="F368" s="12" t="str">
        <x:v>NOT_STARTED</x:v>
      </x:c>
      <x:c r="G368" s="12" t="str">
        <x:v>T-220101, T-220102, T-220103, T-220104, T-220201, T-220202, T-220203, T-220204, T-220301, T-220302, T-220303, T-220304, T-220401</x:v>
      </x:c>
      <x:c r="H368" s="12" t="str">
        <x:v>reports/S22/ch06_playtest.md</x:v>
      </x:c>
      <x:c r="I368" s="12" t="str">
        <x:v>ARTIFACT_REVIEW, ENGINE_TEST, RENDERED_RUNTIME</x:v>
      </x:c>
      <x:c r="J368" s="12" t="str">
        <x:v>L</x:v>
      </x:c>
      <x:c r="K368" s="12" t="str">
        <x:v>reports/tasks/T-220402/evidence.json</x:v>
      </x:c>
      <x:c r="L368" s="12" t="str">
        <x:v>tasks/T-220402.md</x:v>
      </x:c>
      <x:c r="M368" s="12" t="str">
        <x:v>none</x:v>
      </x:c>
    </x:row>
    <x:row r="369" ht="58" customHeight="1">
      <x:c r="A369" s="12" t="str">
        <x:v>T-220403</x:v>
      </x:c>
      <x:c r="B369" s="12" t="str">
        <x:v>S22</x:v>
      </x:c>
      <x:c r="C369" s="12" t="str">
        <x:v>ST-2204</x:v>
      </x:c>
      <x:c r="D369" s="12" t="str">
        <x:v>QA_AGENT</x:v>
      </x:c>
      <x:c r="E369" s="12" t="str">
        <x:v>Sửa blocker/hint/camera trọng tâm H06</x:v>
      </x:c>
      <x:c r="F369" s="12" t="str">
        <x:v>NOT_STARTED</x:v>
      </x:c>
      <x:c r="G369" s="12" t="str">
        <x:v>T-220101, T-220102, T-220103, T-220104, T-220201, T-220202, T-220203, T-220204, T-220301, T-220302, T-220303, T-220304, T-220402</x:v>
      </x:c>
      <x:c r="H369" s="12" t="str">
        <x:v>reports/S22/ch06_retest.md</x:v>
      </x:c>
      <x:c r="I369" s="12" t="str">
        <x:v>ARTIFACT_REVIEW, ENGINE_TEST, RENDERED_RUNTIME</x:v>
      </x:c>
      <x:c r="J369" s="12" t="str">
        <x:v>L</x:v>
      </x:c>
      <x:c r="K369" s="12" t="str">
        <x:v>reports/tasks/T-220403/evidence.json</x:v>
      </x:c>
      <x:c r="L369" s="12" t="str">
        <x:v>tasks/T-220403.md</x:v>
      </x:c>
      <x:c r="M369" s="12" t="str">
        <x:v>none</x:v>
      </x:c>
    </x:row>
    <x:row r="370" ht="58" customHeight="1">
      <x:c r="A370" s="12" t="str">
        <x:v>T-220404</x:v>
      </x:c>
      <x:c r="B370" s="12" t="str">
        <x:v>S22</x:v>
      </x:c>
      <x:c r="C370" s="12" t="str">
        <x:v>ST-2204</x:v>
      </x:c>
      <x:c r="D370" s="12" t="str">
        <x:v>QA_AGENT</x:v>
      </x:c>
      <x:c r="E370" s="12" t="str">
        <x:v>Test lại từ hub xuyên hai chapter gần nhất</x:v>
      </x:c>
      <x:c r="F370" s="12" t="str">
        <x:v>NOT_STARTED</x:v>
      </x:c>
      <x:c r="G370" s="12" t="str">
        <x:v>T-220101, T-220102, T-220103, T-220104, T-220201, T-220202, T-220203, T-220204, T-220301, T-220302, T-220303, T-220304, T-220403</x:v>
      </x:c>
      <x:c r="H370" s="12" t="str">
        <x:v>reports/S22/cross_chapter.md</x:v>
      </x:c>
      <x:c r="I370" s="12" t="str">
        <x:v>ARTIFACT_REVIEW, ENGINE_TEST, RENDERED_RUNTIME</x:v>
      </x:c>
      <x:c r="J370" s="12" t="str">
        <x:v>L</x:v>
      </x:c>
      <x:c r="K370" s="12" t="str">
        <x:v>reports/tasks/T-220404/evidence.json</x:v>
      </x:c>
      <x:c r="L370" s="12" t="str">
        <x:v>tasks/T-220404.md</x:v>
      </x:c>
      <x:c r="M370" s="12" t="str">
        <x:v>none</x:v>
      </x:c>
    </x:row>
    <x:row r="371" ht="58" customHeight="1">
      <x:c r="A371" s="12" t="str">
        <x:v>T-220405</x:v>
      </x:c>
      <x:c r="B371" s="12" t="str">
        <x:v>S22</x:v>
      </x:c>
      <x:c r="C371" s="12" t="str">
        <x:v>ST-2204</x:v>
      </x:c>
      <x:c r="D371" s="12" t="str">
        <x:v>GAMEPLAY_AGENT</x:v>
      </x:c>
      <x:c r="E371" s="12" t="str">
        <x:v>Duyệt chapter DoD và đánh giá lại đường găng</x:v>
      </x:c>
      <x:c r="F371" s="12" t="str">
        <x:v>NOT_STARTED</x:v>
      </x:c>
      <x:c r="G371" s="12" t="str">
        <x:v>T-220101, T-220102, T-220103, T-220104, T-220201, T-220202, T-220203, T-220204, T-220301, T-220302, T-220303, T-220304, T-220404</x:v>
      </x:c>
      <x:c r="H371" s="12" t="str">
        <x:v>reports/S22/ch06_signoff.md</x:v>
      </x:c>
      <x:c r="I371" s="12" t="str">
        <x:v>ARTIFACT_REVIEW, ENGINE_TEST</x:v>
      </x:c>
      <x:c r="J371" s="12" t="str">
        <x:v>S</x:v>
      </x:c>
      <x:c r="K371" s="12" t="str">
        <x:v>reports/tasks/T-220405/evidence.json</x:v>
      </x:c>
      <x:c r="L371" s="12" t="str">
        <x:v>tasks/T-220405.md</x:v>
      </x:c>
      <x:c r="M371" s="12" t="str">
        <x:v>none</x:v>
      </x:c>
    </x:row>
    <x:row r="372" ht="58" customHeight="1">
      <x:c r="A372" s="12" t="str">
        <x:v>T-230101</x:v>
      </x:c>
      <x:c r="B372" s="12" t="str">
        <x:v>S23</x:v>
      </x:c>
      <x:c r="C372" s="12" t="str">
        <x:v>ST-2301</x:v>
      </x:c>
      <x:c r="D372" s="12" t="str">
        <x:v>GAMEPLAY_AGENT</x:v>
      </x:c>
      <x:c r="E372" s="12" t="str">
        <x:v>Viết beat sheet, route graph và reveal cho H07</x:v>
      </x:c>
      <x:c r="F372" s="12" t="str">
        <x:v>NOT_STARTED</x:v>
      </x:c>
      <x:c r="G372" s="12" t="str">
        <x:v>T-220401, T-220402, T-220403, T-220404, T-220405</x:v>
      </x:c>
      <x:c r="H372" s="12" t="str">
        <x:v>docs/chapters/ch07.md</x:v>
      </x:c>
      <x:c r="I372" s="12" t="str">
        <x:v>ARTIFACT_REVIEW, ENGINE_TEST</x:v>
      </x:c>
      <x:c r="J372" s="12" t="str">
        <x:v>M</x:v>
      </x:c>
      <x:c r="K372" s="12" t="str">
        <x:v>reports/tasks/T-230101/evidence.json</x:v>
      </x:c>
      <x:c r="L372" s="12" t="str">
        <x:v>tasks/T-230101.md</x:v>
      </x:c>
      <x:c r="M372" s="12" t="str">
        <x:v>none</x:v>
      </x:c>
    </x:row>
    <x:row r="373" ht="58" customHeight="1">
      <x:c r="A373" s="12" t="str">
        <x:v>T-230102</x:v>
      </x:c>
      <x:c r="B373" s="12" t="str">
        <x:v>S23</x:v>
      </x:c>
      <x:c r="C373" s="12" t="str">
        <x:v>ST-2301</x:v>
      </x:c>
      <x:c r="D373" s="12" t="str">
        <x:v>GAMEPLAY_AGENT</x:v>
      </x:c>
      <x:c r="E373" s="12" t="str">
        <x:v>Blockout H07 / tuyến sơ tán 3 cụm / đồi</x:v>
      </x:c>
      <x:c r="F373" s="12" t="str">
        <x:v>NOT_STARTED</x:v>
      </x:c>
      <x:c r="G373" s="12" t="str">
        <x:v>T-220401, T-220402, T-220403, T-220404, T-220405, T-230101</x:v>
      </x:c>
      <x:c r="H373" s="12" t="str">
        <x:v>scenes/levels/ch07/ch07_level.tscn</x:v>
      </x:c>
      <x:c r="I373" s="12" t="str">
        <x:v>ARTIFACT_REVIEW, ENGINE_TEST</x:v>
      </x:c>
      <x:c r="J373" s="12" t="str">
        <x:v>L</x:v>
      </x:c>
      <x:c r="K373" s="12" t="str">
        <x:v>reports/tasks/T-230102/evidence.json</x:v>
      </x:c>
      <x:c r="L373" s="12" t="str">
        <x:v>tasks/T-230102.md</x:v>
      </x:c>
      <x:c r="M373" s="12" t="str">
        <x:v>none</x:v>
      </x:c>
    </x:row>
    <x:row r="374" ht="58" customHeight="1">
      <x:c r="A374" s="12" t="str">
        <x:v>T-230103</x:v>
      </x:c>
      <x:c r="B374" s="12" t="str">
        <x:v>S23</x:v>
      </x:c>
      <x:c r="C374" s="12" t="str">
        <x:v>ST-2301</x:v>
      </x:c>
      <x:c r="D374" s="12" t="str">
        <x:v>GAMEPLAY_AGENT</x:v>
      </x:c>
      <x:c r="E374" s="12" t="str">
        <x:v>Gắn ChapterManifest, house erasure và hub exits H07</x:v>
      </x:c>
      <x:c r="F374" s="12" t="str">
        <x:v>NOT_STARTED</x:v>
      </x:c>
      <x:c r="G374" s="12" t="str">
        <x:v>T-220401, T-220402, T-220403, T-220404, T-220405, T-230102</x:v>
      </x:c>
      <x:c r="H374" s="12" t="str">
        <x:v>data/chapters/ch07.tres</x:v>
      </x:c>
      <x:c r="I374" s="12" t="str">
        <x:v>ARTIFACT_REVIEW, ENGINE_TEST</x:v>
      </x:c>
      <x:c r="J374" s="12" t="str">
        <x:v>M</x:v>
      </x:c>
      <x:c r="K374" s="12" t="str">
        <x:v>reports/tasks/T-230103/evidence.json</x:v>
      </x:c>
      <x:c r="L374" s="12" t="str">
        <x:v>tasks/T-230103.md</x:v>
      </x:c>
      <x:c r="M374" s="12" t="str">
        <x:v>none</x:v>
      </x:c>
    </x:row>
    <x:row r="375" ht="58" customHeight="1">
      <x:c r="A375" s="12" t="str">
        <x:v>T-230104</x:v>
      </x:c>
      <x:c r="B375" s="12" t="str">
        <x:v>S23</x:v>
      </x:c>
      <x:c r="C375" s="12" t="str">
        <x:v>ST-2301</x:v>
      </x:c>
      <x:c r="D375" s="12" t="str">
        <x:v>QA_AGENT</x:v>
      </x:c>
      <x:c r="E375" s="12" t="str">
        <x:v>Test load checkpoint và đi lại trong H07</x:v>
      </x:c>
      <x:c r="F375" s="12" t="str">
        <x:v>NOT_STARTED</x:v>
      </x:c>
      <x:c r="G375" s="12" t="str">
        <x:v>T-220401, T-220402, T-220403, T-220404, T-220405, T-230103</x:v>
      </x:c>
      <x:c r="H375" s="12" t="str">
        <x:v>reports/S23/ch07_traversal.md</x:v>
      </x:c>
      <x:c r="I375" s="12" t="str">
        <x:v>ARTIFACT_REVIEW, ENGINE_TEST, RENDERED_RUNTIME</x:v>
      </x:c>
      <x:c r="J375" s="12" t="str">
        <x:v>S</x:v>
      </x:c>
      <x:c r="K375" s="12" t="str">
        <x:v>reports/tasks/T-230104/evidence.json</x:v>
      </x:c>
      <x:c r="L375" s="12" t="str">
        <x:v>tasks/T-230104.md</x:v>
      </x:c>
      <x:c r="M375" s="12" t="str">
        <x:v>none</x:v>
      </x:c>
    </x:row>
    <x:row r="376" ht="58" customHeight="1">
      <x:c r="A376" s="12" t="str">
        <x:v>T-230201</x:v>
      </x:c>
      <x:c r="B376" s="12" t="str">
        <x:v>S23</x:v>
      </x:c>
      <x:c r="C376" s="12" t="str">
        <x:v>ST-2302</x:v>
      </x:c>
      <x:c r="D376" s="12" t="str">
        <x:v>GAMEPLAY_AGENT</x:v>
      </x:c>
      <x:c r="E376" s="12" t="str">
        <x:v>Đặc tả state graph và hint của P27</x:v>
      </x:c>
      <x:c r="F376" s="12" t="str">
        <x:v>NOT_STARTED</x:v>
      </x:c>
      <x:c r="G376" s="12" t="str">
        <x:v>T-230101, T-230102, T-230103, T-230104</x:v>
      </x:c>
      <x:c r="H376" s="12" t="str">
        <x:v>docs/puzzles/P27.md</x:v>
      </x:c>
      <x:c r="I376" s="12" t="str">
        <x:v>ARTIFACT_REVIEW, ENGINE_TEST</x:v>
      </x:c>
      <x:c r="J376" s="12" t="str">
        <x:v>M</x:v>
      </x:c>
      <x:c r="K376" s="12" t="str">
        <x:v>reports/tasks/T-230201/evidence.json</x:v>
      </x:c>
      <x:c r="L376" s="12" t="str">
        <x:v>tasks/T-230201.md</x:v>
      </x:c>
      <x:c r="M376" s="12" t="str">
        <x:v>none</x:v>
      </x:c>
    </x:row>
    <x:row r="377" ht="58" customHeight="1">
      <x:c r="A377" s="12" t="str">
        <x:v>T-230202</x:v>
      </x:c>
      <x:c r="B377" s="12" t="str">
        <x:v>S23</x:v>
      </x:c>
      <x:c r="C377" s="12" t="str">
        <x:v>ST-2302</x:v>
      </x:c>
      <x:c r="D377" s="12" t="str">
        <x:v>GAMEPLAY_AGENT</x:v>
      </x:c>
      <x:c r="E377" s="12" t="str">
        <x:v>Implement tương tác và điều kiện P27</x:v>
      </x:c>
      <x:c r="F377" s="12" t="str">
        <x:v>NOT_STARTED</x:v>
      </x:c>
      <x:c r="G377" s="12" t="str">
        <x:v>T-230101, T-230102, T-230103, T-230104, T-230201</x:v>
      </x:c>
      <x:c r="H377" s="12" t="str">
        <x:v>data/puzzles/P27.tres; scenes/puzzles/P27.tscn</x:v>
      </x:c>
      <x:c r="I377" s="12" t="str">
        <x:v>ARTIFACT_REVIEW, ENGINE_TEST</x:v>
      </x:c>
      <x:c r="J377" s="12" t="str">
        <x:v>L</x:v>
      </x:c>
      <x:c r="K377" s="12" t="str">
        <x:v>reports/tasks/T-230202/evidence.json</x:v>
      </x:c>
      <x:c r="L377" s="12" t="str">
        <x:v>tasks/T-230202.md</x:v>
      </x:c>
      <x:c r="M377" s="12" t="str">
        <x:v>none</x:v>
      </x:c>
    </x:row>
    <x:row r="378" ht="58" customHeight="1">
      <x:c r="A378" s="12" t="str">
        <x:v>T-230203</x:v>
      </x:c>
      <x:c r="B378" s="12" t="str">
        <x:v>S23</x:v>
      </x:c>
      <x:c r="C378" s="12" t="str">
        <x:v>ST-2302</x:v>
      </x:c>
      <x:c r="D378" s="12" t="str">
        <x:v>GAMEPLAY_AGENT</x:v>
      </x:c>
      <x:c r="E378" s="12" t="str">
        <x:v>Ghép clue/reward và feedback của P27</x:v>
      </x:c>
      <x:c r="F378" s="12" t="str">
        <x:v>NOT_STARTED</x:v>
      </x:c>
      <x:c r="G378" s="12" t="str">
        <x:v>T-230101, T-230102, T-230103, T-230104, T-230202</x:v>
      </x:c>
      <x:c r="H378" s="12" t="str">
        <x:v>data/evidence/H07/; data/hints/ch07.tres</x:v>
      </x:c>
      <x:c r="I378" s="12" t="str">
        <x:v>ARTIFACT_REVIEW, ENGINE_TEST</x:v>
      </x:c>
      <x:c r="J378" s="12" t="str">
        <x:v>M</x:v>
      </x:c>
      <x:c r="K378" s="12" t="str">
        <x:v>reports/tasks/T-230203/evidence.json</x:v>
      </x:c>
      <x:c r="L378" s="12" t="str">
        <x:v>tasks/T-230203.md</x:v>
      </x:c>
      <x:c r="M378" s="12" t="str">
        <x:v>none</x:v>
      </x:c>
    </x:row>
    <x:row r="379" ht="58" customHeight="1">
      <x:c r="A379" s="12" t="str">
        <x:v>T-230204</x:v>
      </x:c>
      <x:c r="B379" s="12" t="str">
        <x:v>S23</x:v>
      </x:c>
      <x:c r="C379" s="12" t="str">
        <x:v>ST-2302</x:v>
      </x:c>
      <x:c r="D379" s="12" t="str">
        <x:v>QA_AGENT</x:v>
      </x:c>
      <x:c r="E379" s="12" t="str">
        <x:v>Test lời giải sai/đúng/reload P27</x:v>
      </x:c>
      <x:c r="F379" s="12" t="str">
        <x:v>NOT_STARTED</x:v>
      </x:c>
      <x:c r="G379" s="12" t="str">
        <x:v>T-230101, T-230102, T-230103, T-230104, T-230203</x:v>
      </x:c>
      <x:c r="H379" s="12" t="str">
        <x:v>reports/S23/P27_tests.md</x:v>
      </x:c>
      <x:c r="I379" s="12" t="str">
        <x:v>ARTIFACT_REVIEW, ENGINE_TEST, RENDERED_RUNTIME</x:v>
      </x:c>
      <x:c r="J379" s="12" t="str">
        <x:v>S</x:v>
      </x:c>
      <x:c r="K379" s="12" t="str">
        <x:v>reports/tasks/T-230204/evidence.json</x:v>
      </x:c>
      <x:c r="L379" s="12" t="str">
        <x:v>tasks/T-230204.md</x:v>
      </x:c>
      <x:c r="M379" s="12" t="str">
        <x:v>none</x:v>
      </x:c>
    </x:row>
    <x:row r="380" ht="58" customHeight="1">
      <x:c r="A380" s="12" t="str">
        <x:v>T-230301</x:v>
      </x:c>
      <x:c r="B380" s="12" t="str">
        <x:v>S23</x:v>
      </x:c>
      <x:c r="C380" s="12" t="str">
        <x:v>ST-2303</x:v>
      </x:c>
      <x:c r="D380" s="12" t="str">
        <x:v>ART_AGENT</x:v>
      </x:c>
      <x:c r="E380" s="12" t="str">
        <x:v>Dựng layout art từ greybox H07</x:v>
      </x:c>
      <x:c r="F380" s="12" t="str">
        <x:v>NOT_STARTED</x:v>
      </x:c>
      <x:c r="G380" s="12" t="str">
        <x:v>T-110301, T-110302, T-110303, T-110304, T-230101, T-230102, T-230103, T-230104</x:v>
      </x:c>
      <x:c r="H380" s="12" t="str">
        <x:v>art/source/ch07_layout.blend</x:v>
      </x:c>
      <x:c r="I380" s="12" t="str">
        <x:v>ARTIFACT_REVIEW, RENDERED_RUNTIME</x:v>
      </x:c>
      <x:c r="J380" s="12" t="str">
        <x:v>L</x:v>
      </x:c>
      <x:c r="K380" s="12" t="str">
        <x:v>reports/tasks/T-230301/evidence.json</x:v>
      </x:c>
      <x:c r="L380" s="12" t="str">
        <x:v>tasks/T-230301.md</x:v>
      </x:c>
      <x:c r="M380" s="12" t="str">
        <x:v>none</x:v>
      </x:c>
    </x:row>
    <x:row r="381" ht="58" customHeight="1">
      <x:c r="A381" s="12" t="str">
        <x:v>T-230302</x:v>
      </x:c>
      <x:c r="B381" s="12" t="str">
        <x:v>S23</x:v>
      </x:c>
      <x:c r="C381" s="12" t="str">
        <x:v>ST-2303</x:v>
      </x:c>
      <x:c r="D381" s="12" t="str">
        <x:v>ART_AGENT</x:v>
      </x:c>
      <x:c r="E381" s="12" t="str">
        <x:v>Dựng nhóm prop puzzle P27/P28</x:v>
      </x:c>
      <x:c r="F381" s="12" t="str">
        <x:v>NOT_STARTED</x:v>
      </x:c>
      <x:c r="G381" s="12" t="str">
        <x:v>T-110301, T-110302, T-110303, T-110304, T-230101, T-230102, T-230103, T-230104, T-230301</x:v>
      </x:c>
      <x:c r="H381" s="12" t="str">
        <x:v>art/export/props/ch07/</x:v>
      </x:c>
      <x:c r="I381" s="12" t="str">
        <x:v>ARTIFACT_REVIEW, RENDERED_RUNTIME</x:v>
      </x:c>
      <x:c r="J381" s="12" t="str">
        <x:v>L</x:v>
      </x:c>
      <x:c r="K381" s="12" t="str">
        <x:v>reports/tasks/T-230302/evidence.json</x:v>
      </x:c>
      <x:c r="L381" s="12" t="str">
        <x:v>tasks/T-230302.md</x:v>
      </x:c>
      <x:c r="M381" s="12" t="str">
        <x:v>none</x:v>
      </x:c>
    </x:row>
    <x:row r="382" ht="58" customHeight="1">
      <x:c r="A382" s="12" t="str">
        <x:v>T-230303</x:v>
      </x:c>
      <x:c r="B382" s="12" t="str">
        <x:v>S23</x:v>
      </x:c>
      <x:c r="C382" s="12" t="str">
        <x:v>ST-2303</x:v>
      </x:c>
      <x:c r="D382" s="12" t="str">
        <x:v>ART_AGENT</x:v>
      </x:c>
      <x:c r="E382" s="12" t="str">
        <x:v>Chuẩn bị variant REAL/ERASED cho H07</x:v>
      </x:c>
      <x:c r="F382" s="12" t="str">
        <x:v>NOT_STARTED</x:v>
      </x:c>
      <x:c r="G382" s="12" t="str">
        <x:v>T-110301, T-110302, T-110303, T-110304, T-230101, T-230102, T-230103, T-230104, T-230302</x:v>
      </x:c>
      <x:c r="H382" s="12" t="str">
        <x:v>art/export/environment/ch07/</x:v>
      </x:c>
      <x:c r="I382" s="12" t="str">
        <x:v>ARTIFACT_REVIEW, RENDERED_RUNTIME</x:v>
      </x:c>
      <x:c r="J382" s="12" t="str">
        <x:v>L</x:v>
      </x:c>
      <x:c r="K382" s="12" t="str">
        <x:v>reports/tasks/T-230303/evidence.json</x:v>
      </x:c>
      <x:c r="L382" s="12" t="str">
        <x:v>tasks/T-230303.md</x:v>
      </x:c>
      <x:c r="M382" s="12" t="str">
        <x:v>none</x:v>
      </x:c>
    </x:row>
    <x:row r="383" ht="58" customHeight="1">
      <x:c r="A383" s="12" t="str">
        <x:v>T-230304</x:v>
      </x:c>
      <x:c r="B383" s="12" t="str">
        <x:v>S23</x:v>
      </x:c>
      <x:c r="C383" s="12" t="str">
        <x:v>ST-2303</x:v>
      </x:c>
      <x:c r="D383" s="12" t="str">
        <x:v>ORCHESTRATOR</x:v>
      </x:c>
      <x:c r="E383" s="12" t="str">
        <x:v>Import art đầu và kiểm tra collision H07</x:v>
      </x:c>
      <x:c r="F383" s="12" t="str">
        <x:v>NOT_STARTED</x:v>
      </x:c>
      <x:c r="G383" s="12" t="str">
        <x:v>T-110301, T-110302, T-110303, T-110304, T-230101, T-230102, T-230103, T-230104, T-230303</x:v>
      </x:c>
      <x:c r="H383" s="12" t="str">
        <x:v>reports/S23/ch07_asset_review.md</x:v>
      </x:c>
      <x:c r="I383" s="12" t="str">
        <x:v>ARTIFACT_REVIEW</x:v>
      </x:c>
      <x:c r="J383" s="12" t="str">
        <x:v>M</x:v>
      </x:c>
      <x:c r="K383" s="12" t="str">
        <x:v>reports/tasks/T-230304/evidence.json</x:v>
      </x:c>
      <x:c r="L383" s="12" t="str">
        <x:v>tasks/T-230304.md</x:v>
      </x:c>
      <x:c r="M383" s="12" t="str">
        <x:v>none</x:v>
      </x:c>
    </x:row>
    <x:row r="384" ht="58" customHeight="1">
      <x:c r="A384" s="12" t="str">
        <x:v>T-230401</x:v>
      </x:c>
      <x:c r="B384" s="12" t="str">
        <x:v>S23</x:v>
      </x:c>
      <x:c r="C384" s="12" t="str">
        <x:v>ST-2304</x:v>
      </x:c>
      <x:c r="D384" s="12" t="str">
        <x:v>GAMEPLAY_AGENT</x:v>
      </x:c>
      <x:c r="E384" s="12" t="str">
        <x:v>Implement state graph và tương tác P28</x:v>
      </x:c>
      <x:c r="F384" s="12" t="str">
        <x:v>NOT_STARTED</x:v>
      </x:c>
      <x:c r="G384" s="12" t="str">
        <x:v>T-230201, T-230202, T-230203, T-230204, T-230301, T-230302, T-230303, T-230304</x:v>
      </x:c>
      <x:c r="H384" s="12" t="str">
        <x:v>docs/puzzles/P28.md; data/puzzles/P28.tres</x:v>
      </x:c>
      <x:c r="I384" s="12" t="str">
        <x:v>ARTIFACT_REVIEW, ENGINE_TEST</x:v>
      </x:c>
      <x:c r="J384" s="12" t="str">
        <x:v>L</x:v>
      </x:c>
      <x:c r="K384" s="12" t="str">
        <x:v>reports/tasks/T-230401/evidence.json</x:v>
      </x:c>
      <x:c r="L384" s="12" t="str">
        <x:v>tasks/T-230401.md</x:v>
      </x:c>
      <x:c r="M384" s="12" t="str">
        <x:v>none</x:v>
      </x:c>
    </x:row>
    <x:row r="385" ht="58" customHeight="1">
      <x:c r="A385" s="12" t="str">
        <x:v>T-230402</x:v>
      </x:c>
      <x:c r="B385" s="12" t="str">
        <x:v>S23</x:v>
      </x:c>
      <x:c r="C385" s="12" t="str">
        <x:v>ST-2304</x:v>
      </x:c>
      <x:c r="D385" s="12" t="str">
        <x:v>GAMEPLAY_AGENT</x:v>
      </x:c>
      <x:c r="E385" s="12" t="str">
        <x:v>Dựng nhánh M07 — Đường cuối từ nhà Minh lên đồi</x:v>
      </x:c>
      <x:c r="F385" s="12" t="str">
        <x:v>NOT_STARTED</x:v>
      </x:c>
      <x:c r="G385" s="12" t="str">
        <x:v>T-230201, T-230202, T-230203, T-230204, T-230301, T-230302, T-230303, T-230304, T-230401</x:v>
      </x:c>
      <x:c r="H385" s="12" t="str">
        <x:v>data/evidence/M07.tres; scenes/levels/ch07/</x:v>
      </x:c>
      <x:c r="I385" s="12" t="str">
        <x:v>ARTIFACT_REVIEW, ENGINE_TEST</x:v>
      </x:c>
      <x:c r="J385" s="12" t="str">
        <x:v>L</x:v>
      </x:c>
      <x:c r="K385" s="12" t="str">
        <x:v>reports/tasks/T-230402/evidence.json</x:v>
      </x:c>
      <x:c r="L385" s="12" t="str">
        <x:v>tasks/T-230402.md</x:v>
      </x:c>
      <x:c r="M385" s="12" t="str">
        <x:v>none</x:v>
      </x:c>
    </x:row>
    <x:row r="386" ht="58" customHeight="1">
      <x:c r="A386" s="12" t="str">
        <x:v>T-230403</x:v>
      </x:c>
      <x:c r="B386" s="12" t="str">
        <x:v>S23</x:v>
      </x:c>
      <x:c r="C386" s="12" t="str">
        <x:v>ST-2304</x:v>
      </x:c>
      <x:c r="D386" s="12" t="str">
        <x:v>GAMEPLAY_AGENT</x:v>
      </x:c>
      <x:c r="E386" s="12" t="str">
        <x:v>Ghép completion và handoff CH7→CHEnding</x:v>
      </x:c>
      <x:c r="F386" s="12" t="str">
        <x:v>NOT_STARTED</x:v>
      </x:c>
      <x:c r="G386" s="12" t="str">
        <x:v>T-230201, T-230202, T-230203, T-230204, T-230301, T-230302, T-230303, T-230304, T-230402</x:v>
      </x:c>
      <x:c r="H386" s="12" t="str">
        <x:v>data/story/ch07_handoff.tres</x:v>
      </x:c>
      <x:c r="I386" s="12" t="str">
        <x:v>ARTIFACT_REVIEW, ENGINE_TEST</x:v>
      </x:c>
      <x:c r="J386" s="12" t="str">
        <x:v>M</x:v>
      </x:c>
      <x:c r="K386" s="12" t="str">
        <x:v>reports/tasks/T-230403/evidence.json</x:v>
      </x:c>
      <x:c r="L386" s="12" t="str">
        <x:v>tasks/T-230403.md</x:v>
      </x:c>
      <x:c r="M386" s="12" t="str">
        <x:v>none</x:v>
      </x:c>
    </x:row>
    <x:row r="387" ht="58" customHeight="1">
      <x:c r="A387" s="12" t="str">
        <x:v>T-230404</x:v>
      </x:c>
      <x:c r="B387" s="12" t="str">
        <x:v>S23</x:v>
      </x:c>
      <x:c r="C387" s="12" t="str">
        <x:v>ST-2304</x:v>
      </x:c>
      <x:c r="D387" s="12" t="str">
        <x:v>QA_AGENT</x:v>
      </x:c>
      <x:c r="E387" s="12" t="str">
        <x:v>Test greybox chapter H07 từ cold start</x:v>
      </x:c>
      <x:c r="F387" s="12" t="str">
        <x:v>NOT_STARTED</x:v>
      </x:c>
      <x:c r="G387" s="12" t="str">
        <x:v>T-230201, T-230202, T-230203, T-230204, T-230301, T-230302, T-230303, T-230304, T-230403</x:v>
      </x:c>
      <x:c r="H387" s="12" t="str">
        <x:v>reports/S23/ch07_greybox.md</x:v>
      </x:c>
      <x:c r="I387" s="12" t="str">
        <x:v>ARTIFACT_REVIEW, ENGINE_TEST, RENDERED_RUNTIME</x:v>
      </x:c>
      <x:c r="J387" s="12" t="str">
        <x:v>S</x:v>
      </x:c>
      <x:c r="K387" s="12" t="str">
        <x:v>reports/tasks/T-230404/evidence.json</x:v>
      </x:c>
      <x:c r="L387" s="12" t="str">
        <x:v>tasks/T-230404.md</x:v>
      </x:c>
      <x:c r="M387" s="12" t="str">
        <x:v>none</x:v>
      </x:c>
    </x:row>
    <x:row r="388" ht="58" customHeight="1">
      <x:c r="A388" s="12" t="str">
        <x:v>T-240101</x:v>
      </x:c>
      <x:c r="B388" s="12" t="str">
        <x:v>S24</x:v>
      </x:c>
      <x:c r="C388" s="12" t="str">
        <x:v>ST-2401</x:v>
      </x:c>
      <x:c r="D388" s="12" t="str">
        <x:v>NARRATIVE_AGENT</x:v>
      </x:c>
      <x:c r="E388" s="12" t="str">
        <x:v>Viết final dialogue, inspect text và captions H07</x:v>
      </x:c>
      <x:c r="F388" s="12" t="str">
        <x:v>NOT_STARTED</x:v>
      </x:c>
      <x:c r="G388" s="12" t="str">
        <x:v>T-230401, T-230402, T-230403, T-230404</x:v>
      </x:c>
      <x:c r="H388" s="12" t="str">
        <x:v>data/dialogue/ch07/; localization/vi.csv</x:v>
      </x:c>
      <x:c r="I388" s="12" t="str">
        <x:v>ARTIFACT_REVIEW</x:v>
      </x:c>
      <x:c r="J388" s="12" t="str">
        <x:v>M</x:v>
      </x:c>
      <x:c r="K388" s="12" t="str">
        <x:v>reports/tasks/T-240101/evidence.json</x:v>
      </x:c>
      <x:c r="L388" s="12" t="str">
        <x:v>tasks/T-240101.md</x:v>
      </x:c>
      <x:c r="M388" s="12" t="str">
        <x:v>none</x:v>
      </x:c>
    </x:row>
    <x:row r="389" ht="58" customHeight="1">
      <x:c r="A389" s="12" t="str">
        <x:v>T-240102</x:v>
      </x:c>
      <x:c r="B389" s="12" t="str">
        <x:v>S24</x:v>
      </x:c>
      <x:c r="C389" s="12" t="str">
        <x:v>ST-2401</x:v>
      </x:c>
      <x:c r="D389" s="12" t="str">
        <x:v>GAMEPLAY_AGENT</x:v>
      </x:c>
      <x:c r="E389" s="12" t="str">
        <x:v>Ghép trigger diễn xuất và camera focus H07</x:v>
      </x:c>
      <x:c r="F389" s="12" t="str">
        <x:v>NOT_STARTED</x:v>
      </x:c>
      <x:c r="G389" s="12" t="str">
        <x:v>T-230401, T-230402, T-230403, T-230404, T-240101</x:v>
      </x:c>
      <x:c r="H389" s="12" t="str">
        <x:v>data/sequences/ch07/; scenes/levels/ch07/</x:v>
      </x:c>
      <x:c r="I389" s="12" t="str">
        <x:v>ARTIFACT_REVIEW, ENGINE_TEST, RENDERED_RUNTIME</x:v>
      </x:c>
      <x:c r="J389" s="12" t="str">
        <x:v>L</x:v>
      </x:c>
      <x:c r="K389" s="12" t="str">
        <x:v>reports/tasks/T-240102/evidence.json</x:v>
      </x:c>
      <x:c r="L389" s="12" t="str">
        <x:v>tasks/T-240102.md</x:v>
      </x:c>
      <x:c r="M389" s="12" t="str">
        <x:v>none</x:v>
      </x:c>
    </x:row>
    <x:row r="390" ht="58" customHeight="1">
      <x:c r="A390" s="12" t="str">
        <x:v>T-240103</x:v>
      </x:c>
      <x:c r="B390" s="12" t="str">
        <x:v>S24</x:v>
      </x:c>
      <x:c r="C390" s="12" t="str">
        <x:v>ST-2401</x:v>
      </x:c>
      <x:c r="D390" s="12" t="str">
        <x:v>GAMEPLAY_AGENT</x:v>
      </x:c>
      <x:c r="E390" s="12" t="str">
        <x:v>Cấu hình nhịp encounter hoặc nghỉ nhịp H07</x:v>
      </x:c>
      <x:c r="F390" s="12" t="str">
        <x:v>NOT_STARTED</x:v>
      </x:c>
      <x:c r="G390" s="12" t="str">
        <x:v>T-230401, T-230402, T-230403, T-230404, T-240102</x:v>
      </x:c>
      <x:c r="H390" s="12" t="str">
        <x:v>data/encounters/ch07.tres</x:v>
      </x:c>
      <x:c r="I390" s="12" t="str">
        <x:v>ARTIFACT_REVIEW, ENGINE_TEST</x:v>
      </x:c>
      <x:c r="J390" s="12" t="str">
        <x:v>M</x:v>
      </x:c>
      <x:c r="K390" s="12" t="str">
        <x:v>reports/tasks/T-240103/evidence.json</x:v>
      </x:c>
      <x:c r="L390" s="12" t="str">
        <x:v>tasks/T-240103.md</x:v>
      </x:c>
      <x:c r="M390" s="12" t="str">
        <x:v>none</x:v>
      </x:c>
    </x:row>
    <x:row r="391" ht="58" customHeight="1">
      <x:c r="A391" s="12" t="str">
        <x:v>T-240104</x:v>
      </x:c>
      <x:c r="B391" s="12" t="str">
        <x:v>S24</x:v>
      </x:c>
      <x:c r="C391" s="12" t="str">
        <x:v>ST-2401</x:v>
      </x:c>
      <x:c r="D391" s="12" t="str">
        <x:v>GAMEPLAY_AGENT</x:v>
      </x:c>
      <x:c r="E391" s="12" t="str">
        <x:v>Kiểm tra reveal và skip/reload H07</x:v>
      </x:c>
      <x:c r="F391" s="12" t="str">
        <x:v>NOT_STARTED</x:v>
      </x:c>
      <x:c r="G391" s="12" t="str">
        <x:v>T-230401, T-230402, T-230403, T-230404, T-240103</x:v>
      </x:c>
      <x:c r="H391" s="12" t="str">
        <x:v>reports/S24/ch07_narrative.md</x:v>
      </x:c>
      <x:c r="I391" s="12" t="str">
        <x:v>ARTIFACT_REVIEW, ENGINE_TEST</x:v>
      </x:c>
      <x:c r="J391" s="12" t="str">
        <x:v>S</x:v>
      </x:c>
      <x:c r="K391" s="12" t="str">
        <x:v>reports/tasks/T-240104/evidence.json</x:v>
      </x:c>
      <x:c r="L391" s="12" t="str">
        <x:v>tasks/T-240104.md</x:v>
      </x:c>
      <x:c r="M391" s="12" t="str">
        <x:v>none</x:v>
      </x:c>
    </x:row>
    <x:row r="392" ht="58" customHeight="1">
      <x:c r="A392" s="12" t="str">
        <x:v>T-240201</x:v>
      </x:c>
      <x:c r="B392" s="12" t="str">
        <x:v>S24</x:v>
      </x:c>
      <x:c r="C392" s="12" t="str">
        <x:v>ST-2402</x:v>
      </x:c>
      <x:c r="D392" s="12" t="str">
        <x:v>ART_AGENT</x:v>
      </x:c>
      <x:c r="E392" s="12" t="str">
        <x:v>Hoàn thiện material/lighting môi trường H07</x:v>
      </x:c>
      <x:c r="F392" s="12" t="str">
        <x:v>NOT_STARTED</x:v>
      </x:c>
      <x:c r="G392" s="12" t="str">
        <x:v>T-230301, T-230302, T-230303, T-230304, T-240101, T-240102, T-240103, T-240104</x:v>
      </x:c>
      <x:c r="H392" s="12" t="str">
        <x:v>art/export/environment/ch07_final/</x:v>
      </x:c>
      <x:c r="I392" s="12" t="str">
        <x:v>ARTIFACT_REVIEW, RENDERED_RUNTIME</x:v>
      </x:c>
      <x:c r="J392" s="12" t="str">
        <x:v>L</x:v>
      </x:c>
      <x:c r="K392" s="12" t="str">
        <x:v>reports/tasks/T-240201/evidence.json</x:v>
      </x:c>
      <x:c r="L392" s="12" t="str">
        <x:v>tasks/T-240201.md</x:v>
      </x:c>
      <x:c r="M392" s="12" t="str">
        <x:v>none</x:v>
      </x:c>
    </x:row>
    <x:row r="393" ht="58" customHeight="1">
      <x:c r="A393" s="12" t="str">
        <x:v>T-240202</x:v>
      </x:c>
      <x:c r="B393" s="12" t="str">
        <x:v>S24</x:v>
      </x:c>
      <x:c r="C393" s="12" t="str">
        <x:v>ST-2402</x:v>
      </x:c>
      <x:c r="D393" s="12" t="str">
        <x:v>ART_AGENT</x:v>
      </x:c>
      <x:c r="E393" s="12" t="str">
        <x:v>Hoàn thiện props/NPC diễn xuất trọng tâm H07</x:v>
      </x:c>
      <x:c r="F393" s="12" t="str">
        <x:v>NOT_STARTED</x:v>
      </x:c>
      <x:c r="G393" s="12" t="str">
        <x:v>T-230301, T-230302, T-230303, T-230304, T-240101, T-240102, T-240103, T-240104, T-240201</x:v>
      </x:c>
      <x:c r="H393" s="12" t="str">
        <x:v>art/export/characters/ch07/; art/export/props/ch07/</x:v>
      </x:c>
      <x:c r="I393" s="12" t="str">
        <x:v>ARTIFACT_REVIEW, RENDERED_RUNTIME</x:v>
      </x:c>
      <x:c r="J393" s="12" t="str">
        <x:v>L</x:v>
      </x:c>
      <x:c r="K393" s="12" t="str">
        <x:v>reports/tasks/T-240202/evidence.json</x:v>
      </x:c>
      <x:c r="L393" s="12" t="str">
        <x:v>tasks/T-240202.md</x:v>
      </x:c>
      <x:c r="M393" s="12" t="str">
        <x:v>none</x:v>
      </x:c>
    </x:row>
    <x:row r="394" ht="58" customHeight="1">
      <x:c r="A394" s="12" t="str">
        <x:v>T-240203</x:v>
      </x:c>
      <x:c r="B394" s="12" t="str">
        <x:v>S24</x:v>
      </x:c>
      <x:c r="C394" s="12" t="str">
        <x:v>ST-2402</x:v>
      </x:c>
      <x:c r="D394" s="12" t="str">
        <x:v>ART_AGENT</x:v>
      </x:c>
      <x:c r="E394" s="12" t="str">
        <x:v>Set dress và kiểm tra silhouette H07</x:v>
      </x:c>
      <x:c r="F394" s="12" t="str">
        <x:v>NOT_STARTED</x:v>
      </x:c>
      <x:c r="G394" s="12" t="str">
        <x:v>T-230301, T-230302, T-230303, T-230304, T-240101, T-240102, T-240103, T-240104, T-240202</x:v>
      </x:c>
      <x:c r="H394" s="12" t="str">
        <x:v>art/lighting/ch07/</x:v>
      </x:c>
      <x:c r="I394" s="12" t="str">
        <x:v>ARTIFACT_REVIEW, RENDERED_RUNTIME</x:v>
      </x:c>
      <x:c r="J394" s="12" t="str">
        <x:v>L</x:v>
      </x:c>
      <x:c r="K394" s="12" t="str">
        <x:v>reports/tasks/T-240203/evidence.json</x:v>
      </x:c>
      <x:c r="L394" s="12" t="str">
        <x:v>tasks/T-240203.md</x:v>
      </x:c>
      <x:c r="M394" s="12" t="str">
        <x:v>none</x:v>
      </x:c>
    </x:row>
    <x:row r="395" ht="58" customHeight="1">
      <x:c r="A395" s="12" t="str">
        <x:v>T-240204</x:v>
      </x:c>
      <x:c r="B395" s="12" t="str">
        <x:v>S24</x:v>
      </x:c>
      <x:c r="C395" s="12" t="str">
        <x:v>ST-2402</x:v>
      </x:c>
      <x:c r="D395" s="12" t="str">
        <x:v>GAMEPLAY_AGENT</x:v>
      </x:c>
      <x:c r="E395" s="12" t="str">
        <x:v>Ghép asset final và khóa phiên bản H07</x:v>
      </x:c>
      <x:c r="F395" s="12" t="str">
        <x:v>NOT_STARTED</x:v>
      </x:c>
      <x:c r="G395" s="12" t="str">
        <x:v>T-230301, T-230302, T-230303, T-230304, T-240101, T-240102, T-240103, T-240104, T-240203</x:v>
      </x:c>
      <x:c r="H395" s="12" t="str">
        <x:v>reports/S24/ch07_art_signoff.md</x:v>
      </x:c>
      <x:c r="I395" s="12" t="str">
        <x:v>ARTIFACT_REVIEW, ENGINE_TEST</x:v>
      </x:c>
      <x:c r="J395" s="12" t="str">
        <x:v>M</x:v>
      </x:c>
      <x:c r="K395" s="12" t="str">
        <x:v>reports/tasks/T-240204/evidence.json</x:v>
      </x:c>
      <x:c r="L395" s="12" t="str">
        <x:v>tasks/T-240204.md</x:v>
      </x:c>
      <x:c r="M395" s="12" t="str">
        <x:v>none</x:v>
      </x:c>
    </x:row>
    <x:row r="396" ht="58" customHeight="1">
      <x:c r="A396" s="12" t="str">
        <x:v>T-240301</x:v>
      </x:c>
      <x:c r="B396" s="12" t="str">
        <x:v>S24</x:v>
      </x:c>
      <x:c r="C396" s="12" t="str">
        <x:v>ST-2403</x:v>
      </x:c>
      <x:c r="D396" s="12" t="str">
        <x:v>AUDIO_AGENT</x:v>
      </x:c>
      <x:c r="E396" s="12" t="str">
        <x:v>Tạo ambience và cue đặc trưng H07</x:v>
      </x:c>
      <x:c r="F396" s="12" t="str">
        <x:v>NOT_STARTED</x:v>
      </x:c>
      <x:c r="G396" s="12" t="str">
        <x:v>T-240101, T-240102, T-240103, T-240104</x:v>
      </x:c>
      <x:c r="H396" s="12" t="str">
        <x:v>audio/ambience/ch07/; audio/cue_sheets/ch07.csv</x:v>
      </x:c>
      <x:c r="I396" s="12" t="str">
        <x:v>ARTIFACT_REVIEW, AUDIO_REVIEW</x:v>
      </x:c>
      <x:c r="J396" s="12" t="str">
        <x:v>L</x:v>
      </x:c>
      <x:c r="K396" s="12" t="str">
        <x:v>reports/tasks/T-240301/evidence.json</x:v>
      </x:c>
      <x:c r="L396" s="12" t="str">
        <x:v>tasks/T-240301.md</x:v>
      </x:c>
      <x:c r="M396" s="12" t="str">
        <x:v>none</x:v>
      </x:c>
    </x:row>
    <x:row r="397" ht="58" customHeight="1">
      <x:c r="A397" s="12" t="str">
        <x:v>T-240302</x:v>
      </x:c>
      <x:c r="B397" s="12" t="str">
        <x:v>S24</x:v>
      </x:c>
      <x:c r="C397" s="12" t="str">
        <x:v>ST-2403</x:v>
      </x:c>
      <x:c r="D397" s="12" t="str">
        <x:v>AUDIO_AGENT</x:v>
      </x:c>
      <x:c r="E397" s="12" t="str">
        <x:v>Tạo/chỉnh music stem và interaction SFX H07</x:v>
      </x:c>
      <x:c r="F397" s="12" t="str">
        <x:v>NOT_STARTED</x:v>
      </x:c>
      <x:c r="G397" s="12" t="str">
        <x:v>T-240101, T-240102, T-240103, T-240104, T-240301</x:v>
      </x:c>
      <x:c r="H397" s="12" t="str">
        <x:v>audio/music/ch07/; audio/sfx/ch07/</x:v>
      </x:c>
      <x:c r="I397" s="12" t="str">
        <x:v>ARTIFACT_REVIEW, AUDIO_REVIEW</x:v>
      </x:c>
      <x:c r="J397" s="12" t="str">
        <x:v>L</x:v>
      </x:c>
      <x:c r="K397" s="12" t="str">
        <x:v>reports/tasks/T-240302/evidence.json</x:v>
      </x:c>
      <x:c r="L397" s="12" t="str">
        <x:v>tasks/T-240302.md</x:v>
      </x:c>
      <x:c r="M397" s="12" t="str">
        <x:v>none</x:v>
      </x:c>
    </x:row>
    <x:row r="398" ht="58" customHeight="1">
      <x:c r="A398" s="12" t="str">
        <x:v>T-240303</x:v>
      </x:c>
      <x:c r="B398" s="12" t="str">
        <x:v>S24</x:v>
      </x:c>
      <x:c r="C398" s="12" t="str">
        <x:v>ST-2403</x:v>
      </x:c>
      <x:c r="D398" s="12" t="str">
        <x:v>GAMEPLAY_AGENT</x:v>
      </x:c>
      <x:c r="E398" s="12" t="str">
        <x:v>Ghép audio transitions và captions H07</x:v>
      </x:c>
      <x:c r="F398" s="12" t="str">
        <x:v>NOT_STARTED</x:v>
      </x:c>
      <x:c r="G398" s="12" t="str">
        <x:v>T-240101, T-240102, T-240103, T-240104, T-240302</x:v>
      </x:c>
      <x:c r="H398" s="12" t="str">
        <x:v>scenes/levels/ch07/; localization/captions.csv</x:v>
      </x:c>
      <x:c r="I398" s="12" t="str">
        <x:v>ARTIFACT_REVIEW, ENGINE_TEST</x:v>
      </x:c>
      <x:c r="J398" s="12" t="str">
        <x:v>L</x:v>
      </x:c>
      <x:c r="K398" s="12" t="str">
        <x:v>reports/tasks/T-240303/evidence.json</x:v>
      </x:c>
      <x:c r="L398" s="12" t="str">
        <x:v>tasks/T-240303.md</x:v>
      </x:c>
      <x:c r="M398" s="12" t="str">
        <x:v>none</x:v>
      </x:c>
    </x:row>
    <x:row r="399" ht="58" customHeight="1">
      <x:c r="A399" s="12" t="str">
        <x:v>T-240304</x:v>
      </x:c>
      <x:c r="B399" s="12" t="str">
        <x:v>S24</x:v>
      </x:c>
      <x:c r="C399" s="12" t="str">
        <x:v>ST-2403</x:v>
      </x:c>
      <x:c r="D399" s="12" t="str">
        <x:v>QA_AGENT</x:v>
      </x:c>
      <x:c r="E399" s="12" t="str">
        <x:v>Test mute/mix/pause trong H07</x:v>
      </x:c>
      <x:c r="F399" s="12" t="str">
        <x:v>NOT_STARTED</x:v>
      </x:c>
      <x:c r="G399" s="12" t="str">
        <x:v>T-240101, T-240102, T-240103, T-240104, T-240303</x:v>
      </x:c>
      <x:c r="H399" s="12" t="str">
        <x:v>reports/S24/ch07_audio.md</x:v>
      </x:c>
      <x:c r="I399" s="12" t="str">
        <x:v>ARTIFACT_REVIEW, ENGINE_TEST, RENDERED_RUNTIME</x:v>
      </x:c>
      <x:c r="J399" s="12" t="str">
        <x:v>S</x:v>
      </x:c>
      <x:c r="K399" s="12" t="str">
        <x:v>reports/tasks/T-240304/evidence.json</x:v>
      </x:c>
      <x:c r="L399" s="12" t="str">
        <x:v>tasks/T-240304.md</x:v>
      </x:c>
      <x:c r="M399" s="12" t="str">
        <x:v>none</x:v>
      </x:c>
    </x:row>
    <x:row r="400" ht="58" customHeight="1">
      <x:c r="A400" s="12" t="str">
        <x:v>T-240401</x:v>
      </x:c>
      <x:c r="B400" s="12" t="str">
        <x:v>S24</x:v>
      </x:c>
      <x:c r="C400" s="12" t="str">
        <x:v>ST-2404</x:v>
      </x:c>
      <x:c r="D400" s="12" t="str">
        <x:v>QA_AGENT</x:v>
      </x:c>
      <x:c r="E400" s="12" t="str">
        <x:v>Chạy puzzle/save/phase matrix H07</x:v>
      </x:c>
      <x:c r="F400" s="12" t="str">
        <x:v>NOT_STARTED</x:v>
      </x:c>
      <x:c r="G400" s="12" t="str">
        <x:v>T-240101, T-240102, T-240103, T-240104, T-240201, T-240202, T-240203, T-240204, T-240301, T-240302, T-240303, T-240304</x:v>
      </x:c>
      <x:c r="H400" s="12" t="str">
        <x:v>reports/S24/ch07_regression.csv</x:v>
      </x:c>
      <x:c r="I400" s="12" t="str">
        <x:v>ARTIFACT_REVIEW, ENGINE_TEST, RENDERED_RUNTIME</x:v>
      </x:c>
      <x:c r="J400" s="12" t="str">
        <x:v>L</x:v>
      </x:c>
      <x:c r="K400" s="12" t="str">
        <x:v>reports/tasks/T-240401/evidence.json</x:v>
      </x:c>
      <x:c r="L400" s="12" t="str">
        <x:v>tasks/T-240401.md</x:v>
      </x:c>
      <x:c r="M400" s="12" t="str">
        <x:v>none</x:v>
      </x:c>
    </x:row>
    <x:row r="401" ht="58" customHeight="1">
      <x:c r="A401" s="12" t="str">
        <x:v>T-240402</x:v>
      </x:c>
      <x:c r="B401" s="12" t="str">
        <x:v>S24</x:v>
      </x:c>
      <x:c r="C401" s="12" t="str">
        <x:v>ST-2404</x:v>
      </x:c>
      <x:c r="D401" s="12" t="str">
        <x:v>QA_AGENT</x:v>
      </x:c>
      <x:c r="E401" s="12" t="str">
        <x:v>Test ngoài nhóm và quan sát đường chơi H07</x:v>
      </x:c>
      <x:c r="F401" s="12" t="str">
        <x:v>NOT_STARTED</x:v>
      </x:c>
      <x:c r="G401" s="12" t="str">
        <x:v>T-240101, T-240102, T-240103, T-240104, T-240201, T-240202, T-240203, T-240204, T-240301, T-240302, T-240303, T-240304, T-240401</x:v>
      </x:c>
      <x:c r="H401" s="12" t="str">
        <x:v>reports/S24/ch07_playtest.md</x:v>
      </x:c>
      <x:c r="I401" s="12" t="str">
        <x:v>ARTIFACT_REVIEW, ENGINE_TEST, RENDERED_RUNTIME</x:v>
      </x:c>
      <x:c r="J401" s="12" t="str">
        <x:v>L</x:v>
      </x:c>
      <x:c r="K401" s="12" t="str">
        <x:v>reports/tasks/T-240402/evidence.json</x:v>
      </x:c>
      <x:c r="L401" s="12" t="str">
        <x:v>tasks/T-240402.md</x:v>
      </x:c>
      <x:c r="M401" s="12" t="str">
        <x:v>none</x:v>
      </x:c>
    </x:row>
    <x:row r="402" ht="58" customHeight="1">
      <x:c r="A402" s="12" t="str">
        <x:v>T-240403</x:v>
      </x:c>
      <x:c r="B402" s="12" t="str">
        <x:v>S24</x:v>
      </x:c>
      <x:c r="C402" s="12" t="str">
        <x:v>ST-2404</x:v>
      </x:c>
      <x:c r="D402" s="12" t="str">
        <x:v>QA_AGENT</x:v>
      </x:c>
      <x:c r="E402" s="12" t="str">
        <x:v>Sửa blocker/hint/camera trọng tâm H07</x:v>
      </x:c>
      <x:c r="F402" s="12" t="str">
        <x:v>NOT_STARTED</x:v>
      </x:c>
      <x:c r="G402" s="12" t="str">
        <x:v>T-240101, T-240102, T-240103, T-240104, T-240201, T-240202, T-240203, T-240204, T-240301, T-240302, T-240303, T-240304, T-240402</x:v>
      </x:c>
      <x:c r="H402" s="12" t="str">
        <x:v>reports/S24/ch07_retest.md</x:v>
      </x:c>
      <x:c r="I402" s="12" t="str">
        <x:v>ARTIFACT_REVIEW, ENGINE_TEST, RENDERED_RUNTIME</x:v>
      </x:c>
      <x:c r="J402" s="12" t="str">
        <x:v>L</x:v>
      </x:c>
      <x:c r="K402" s="12" t="str">
        <x:v>reports/tasks/T-240403/evidence.json</x:v>
      </x:c>
      <x:c r="L402" s="12" t="str">
        <x:v>tasks/T-240403.md</x:v>
      </x:c>
      <x:c r="M402" s="12" t="str">
        <x:v>none</x:v>
      </x:c>
    </x:row>
    <x:row r="403" ht="58" customHeight="1">
      <x:c r="A403" s="12" t="str">
        <x:v>T-240404</x:v>
      </x:c>
      <x:c r="B403" s="12" t="str">
        <x:v>S24</x:v>
      </x:c>
      <x:c r="C403" s="12" t="str">
        <x:v>ST-2404</x:v>
      </x:c>
      <x:c r="D403" s="12" t="str">
        <x:v>QA_AGENT</x:v>
      </x:c>
      <x:c r="E403" s="12" t="str">
        <x:v>Test lại từ hub xuyên hai chapter gần nhất</x:v>
      </x:c>
      <x:c r="F403" s="12" t="str">
        <x:v>NOT_STARTED</x:v>
      </x:c>
      <x:c r="G403" s="12" t="str">
        <x:v>T-240101, T-240102, T-240103, T-240104, T-240201, T-240202, T-240203, T-240204, T-240301, T-240302, T-240303, T-240304, T-240403</x:v>
      </x:c>
      <x:c r="H403" s="12" t="str">
        <x:v>reports/S24/cross_chapter.md</x:v>
      </x:c>
      <x:c r="I403" s="12" t="str">
        <x:v>ARTIFACT_REVIEW, ENGINE_TEST, RENDERED_RUNTIME</x:v>
      </x:c>
      <x:c r="J403" s="12" t="str">
        <x:v>L</x:v>
      </x:c>
      <x:c r="K403" s="12" t="str">
        <x:v>reports/tasks/T-240404/evidence.json</x:v>
      </x:c>
      <x:c r="L403" s="12" t="str">
        <x:v>tasks/T-240404.md</x:v>
      </x:c>
      <x:c r="M403" s="12" t="str">
        <x:v>none</x:v>
      </x:c>
    </x:row>
    <x:row r="404" ht="58" customHeight="1">
      <x:c r="A404" s="12" t="str">
        <x:v>T-240405</x:v>
      </x:c>
      <x:c r="B404" s="12" t="str">
        <x:v>S24</x:v>
      </x:c>
      <x:c r="C404" s="12" t="str">
        <x:v>ST-2404</x:v>
      </x:c>
      <x:c r="D404" s="12" t="str">
        <x:v>GAMEPLAY_AGENT</x:v>
      </x:c>
      <x:c r="E404" s="12" t="str">
        <x:v>Duyệt chapter DoD và đánh giá lại đường găng</x:v>
      </x:c>
      <x:c r="F404" s="12" t="str">
        <x:v>NOT_STARTED</x:v>
      </x:c>
      <x:c r="G404" s="12" t="str">
        <x:v>T-240101, T-240102, T-240103, T-240104, T-240201, T-240202, T-240203, T-240204, T-240301, T-240302, T-240303, T-240304, T-240404</x:v>
      </x:c>
      <x:c r="H404" s="12" t="str">
        <x:v>reports/S24/ch07_signoff.md</x:v>
      </x:c>
      <x:c r="I404" s="12" t="str">
        <x:v>ARTIFACT_REVIEW, ENGINE_TEST</x:v>
      </x:c>
      <x:c r="J404" s="12" t="str">
        <x:v>S</x:v>
      </x:c>
      <x:c r="K404" s="12" t="str">
        <x:v>reports/tasks/T-240405/evidence.json</x:v>
      </x:c>
      <x:c r="L404" s="12" t="str">
        <x:v>tasks/T-240405.md</x:v>
      </x:c>
      <x:c r="M404" s="12" t="str">
        <x:v>none</x:v>
      </x:c>
    </x:row>
    <x:row r="405" ht="58" customHeight="1">
      <x:c r="A405" s="12" t="str">
        <x:v>T-250101</x:v>
      </x:c>
      <x:c r="B405" s="12" t="str">
        <x:v>S25</x:v>
      </x:c>
      <x:c r="C405" s="12" t="str">
        <x:v>ST-2501</x:v>
      </x:c>
      <x:c r="D405" s="12" t="str">
        <x:v>GAMEPLAY_AGENT</x:v>
      </x:c>
      <x:c r="E405" s="12" t="str">
        <x:v>Khóa ending state machine và nội dung lựa chọn</x:v>
      </x:c>
      <x:c r="F405" s="12" t="str">
        <x:v>NOT_STARTED</x:v>
      </x:c>
      <x:c r="G405" s="12" t="str">
        <x:v>T-010201, T-010202, T-010203, T-010204, T-240401, T-240402, T-240403, T-240404, T-240405</x:v>
      </x:c>
      <x:c r="H405" s="12" t="str">
        <x:v>docs/story/endings_AB.md</x:v>
      </x:c>
      <x:c r="I405" s="12" t="str">
        <x:v>ARTIFACT_REVIEW, ENGINE_TEST</x:v>
      </x:c>
      <x:c r="J405" s="12" t="str">
        <x:v>M</x:v>
      </x:c>
      <x:c r="K405" s="12" t="str">
        <x:v>reports/tasks/T-250101/evidence.json</x:v>
      </x:c>
      <x:c r="L405" s="12" t="str">
        <x:v>tasks/T-250101.md</x:v>
      </x:c>
      <x:c r="M405" s="12" t="str">
        <x:v>none</x:v>
      </x:c>
    </x:row>
    <x:row r="406" ht="58" customHeight="1">
      <x:c r="A406" s="12" t="str">
        <x:v>T-250102</x:v>
      </x:c>
      <x:c r="B406" s="12" t="str">
        <x:v>S25</x:v>
      </x:c>
      <x:c r="C406" s="12" t="str">
        <x:v>ST-2501</x:v>
      </x:c>
      <x:c r="D406" s="12" t="str">
        <x:v>GAMEPLAY_AGENT</x:v>
      </x:c>
      <x:c r="E406" s="12" t="str">
        <x:v>Implement nhánh A — Minh thay An làm neo</x:v>
      </x:c>
      <x:c r="F406" s="12" t="str">
        <x:v>NOT_STARTED</x:v>
      </x:c>
      <x:c r="G406" s="12" t="str">
        <x:v>T-010201, T-010202, T-010203, T-010204, T-240401, T-240402, T-240403, T-240404, T-240405, T-250101</x:v>
      </x:c>
      <x:c r="H406" s="12" t="str">
        <x:v>data/endings/ending_A.tres; scenes/endings/A.tscn</x:v>
      </x:c>
      <x:c r="I406" s="12" t="str">
        <x:v>ARTIFACT_REVIEW, ENGINE_TEST</x:v>
      </x:c>
      <x:c r="J406" s="12" t="str">
        <x:v>L</x:v>
      </x:c>
      <x:c r="K406" s="12" t="str">
        <x:v>reports/tasks/T-250102/evidence.json</x:v>
      </x:c>
      <x:c r="L406" s="12" t="str">
        <x:v>tasks/T-250102.md</x:v>
      </x:c>
      <x:c r="M406" s="12" t="str">
        <x:v>none</x:v>
      </x:c>
    </x:row>
    <x:row r="407" ht="58" customHeight="1">
      <x:c r="A407" s="12" t="str">
        <x:v>T-250103</x:v>
      </x:c>
      <x:c r="B407" s="12" t="str">
        <x:v>S25</x:v>
      </x:c>
      <x:c r="C407" s="12" t="str">
        <x:v>ST-2501</x:v>
      </x:c>
      <x:c r="D407" s="12" t="str">
        <x:v>GAMEPLAY_AGENT</x:v>
      </x:c>
      <x:c r="E407" s="12" t="str">
        <x:v>Implement nhánh B — Trả lại thời gian</x:v>
      </x:c>
      <x:c r="F407" s="12" t="str">
        <x:v>NOT_STARTED</x:v>
      </x:c>
      <x:c r="G407" s="12" t="str">
        <x:v>T-010201, T-010202, T-010203, T-010204, T-240401, T-240402, T-240403, T-240404, T-240405, T-250102</x:v>
      </x:c>
      <x:c r="H407" s="12" t="str">
        <x:v>data/endings/ending_B.tres; scenes/endings/B.tscn</x:v>
      </x:c>
      <x:c r="I407" s="12" t="str">
        <x:v>ARTIFACT_REVIEW, ENGINE_TEST</x:v>
      </x:c>
      <x:c r="J407" s="12" t="str">
        <x:v>L</x:v>
      </x:c>
      <x:c r="K407" s="12" t="str">
        <x:v>reports/tasks/T-250103/evidence.json</x:v>
      </x:c>
      <x:c r="L407" s="12" t="str">
        <x:v>tasks/T-250103.md</x:v>
      </x:c>
      <x:c r="M407" s="12" t="str">
        <x:v>none</x:v>
      </x:c>
    </x:row>
    <x:row r="408" ht="58" customHeight="1">
      <x:c r="A408" s="12" t="str">
        <x:v>T-250104</x:v>
      </x:c>
      <x:c r="B408" s="12" t="str">
        <x:v>S25</x:v>
      </x:c>
      <x:c r="C408" s="12" t="str">
        <x:v>ST-2501</x:v>
      </x:c>
      <x:c r="D408" s="12" t="str">
        <x:v>QA_AGENT</x:v>
      </x:c>
      <x:c r="E408" s="12" t="str">
        <x:v>Test skip/load/credits của A và B</x:v>
      </x:c>
      <x:c r="F408" s="12" t="str">
        <x:v>NOT_STARTED</x:v>
      </x:c>
      <x:c r="G408" s="12" t="str">
        <x:v>T-010201, T-010202, T-010203, T-010204, T-240401, T-240402, T-240403, T-240404, T-240405, T-250103</x:v>
      </x:c>
      <x:c r="H408" s="12" t="str">
        <x:v>reports/S25/endings_AB.md</x:v>
      </x:c>
      <x:c r="I408" s="12" t="str">
        <x:v>ARTIFACT_REVIEW, ENGINE_TEST, RENDERED_RUNTIME</x:v>
      </x:c>
      <x:c r="J408" s="12" t="str">
        <x:v>S</x:v>
      </x:c>
      <x:c r="K408" s="12" t="str">
        <x:v>reports/tasks/T-250104/evidence.json</x:v>
      </x:c>
      <x:c r="L408" s="12" t="str">
        <x:v>tasks/T-250104.md</x:v>
      </x:c>
      <x:c r="M408" s="12" t="str">
        <x:v>none</x:v>
      </x:c>
    </x:row>
    <x:row r="409" ht="58" customHeight="1">
      <x:c r="A409" s="12" t="str">
        <x:v>T-250201</x:v>
      </x:c>
      <x:c r="B409" s="12" t="str">
        <x:v>S25</x:v>
      </x:c>
      <x:c r="C409" s="12" t="str">
        <x:v>ST-2502</x:v>
      </x:c>
      <x:c r="D409" s="12" t="str">
        <x:v>GAMEPLAY_AGENT</x:v>
      </x:c>
      <x:c r="E409" s="12" t="str">
        <x:v>Khóa eligibility, route_solution và snapshot save</x:v>
      </x:c>
      <x:c r="F409" s="12" t="str">
        <x:v>NOT_STARTED</x:v>
      </x:c>
      <x:c r="G409" s="12" t="str">
        <x:v>T-250101, T-250102, T-250103, T-250104</x:v>
      </x:c>
      <x:c r="H409" s="12" t="str">
        <x:v>docs/story/ending_C_rules.md</x:v>
      </x:c>
      <x:c r="I409" s="12" t="str">
        <x:v>ARTIFACT_REVIEW, ENGINE_TEST</x:v>
      </x:c>
      <x:c r="J409" s="12" t="str">
        <x:v>M</x:v>
      </x:c>
      <x:c r="K409" s="12" t="str">
        <x:v>reports/tasks/T-250201/evidence.json</x:v>
      </x:c>
      <x:c r="L409" s="12" t="str">
        <x:v>tasks/T-250201.md</x:v>
      </x:c>
      <x:c r="M409" s="12" t="str">
        <x:v>none</x:v>
      </x:c>
    </x:row>
    <x:row r="410" ht="58" customHeight="1">
      <x:c r="A410" s="12" t="str">
        <x:v>T-250202</x:v>
      </x:c>
      <x:c r="B410" s="12" t="str">
        <x:v>S25</x:v>
      </x:c>
      <x:c r="C410" s="12" t="str">
        <x:v>ST-2502</x:v>
      </x:c>
      <x:c r="D410" s="12" t="str">
        <x:v>GAMEPLAY_AGENT</x:v>
      </x:c>
      <x:c r="E410" s="12" t="str">
        <x:v>Implement sơ tán ba cụm có checkpoint</x:v>
      </x:c>
      <x:c r="F410" s="12" t="str">
        <x:v>NOT_STARTED</x:v>
      </x:c>
      <x:c r="G410" s="12" t="str">
        <x:v>T-250101, T-250102, T-250103, T-250104, T-250201</x:v>
      </x:c>
      <x:c r="H410" s="12" t="str">
        <x:v>scenes/endings/C_route.tscn</x:v>
      </x:c>
      <x:c r="I410" s="12" t="str">
        <x:v>ARTIFACT_REVIEW, ENGINE_TEST</x:v>
      </x:c>
      <x:c r="J410" s="12" t="str">
        <x:v>L</x:v>
      </x:c>
      <x:c r="K410" s="12" t="str">
        <x:v>reports/tasks/T-250202/evidence.json</x:v>
      </x:c>
      <x:c r="L410" s="12" t="str">
        <x:v>tasks/T-250202.md</x:v>
      </x:c>
      <x:c r="M410" s="12" t="str">
        <x:v>none</x:v>
      </x:c>
    </x:row>
    <x:row r="411" ht="58" customHeight="1">
      <x:c r="A411" s="12" t="str">
        <x:v>T-250203</x:v>
      </x:c>
      <x:c r="B411" s="12" t="str">
        <x:v>S25</x:v>
      </x:c>
      <x:c r="C411" s="12" t="str">
        <x:v>ST-2502</x:v>
      </x:c>
      <x:c r="D411" s="12" t="str">
        <x:v>GAMEPLAY_AGENT</x:v>
      </x:c>
      <x:c r="E411" s="12" t="str">
        <x:v>Ghép bình minh và epilogue C</x:v>
      </x:c>
      <x:c r="F411" s="12" t="str">
        <x:v>NOT_STARTED</x:v>
      </x:c>
      <x:c r="G411" s="12" t="str">
        <x:v>T-250101, T-250102, T-250103, T-250104, T-250202</x:v>
      </x:c>
      <x:c r="H411" s="12" t="str">
        <x:v>data/endings/ending_C.tres; scenes/endings/C.tscn</x:v>
      </x:c>
      <x:c r="I411" s="12" t="str">
        <x:v>ARTIFACT_REVIEW, ENGINE_TEST</x:v>
      </x:c>
      <x:c r="J411" s="12" t="str">
        <x:v>L</x:v>
      </x:c>
      <x:c r="K411" s="12" t="str">
        <x:v>reports/tasks/T-250203/evidence.json</x:v>
      </x:c>
      <x:c r="L411" s="12" t="str">
        <x:v>tasks/T-250203.md</x:v>
      </x:c>
      <x:c r="M411" s="12" t="str">
        <x:v>none</x:v>
      </x:c>
    </x:row>
    <x:row r="412" ht="58" customHeight="1">
      <x:c r="A412" s="12" t="str">
        <x:v>T-250204</x:v>
      </x:c>
      <x:c r="B412" s="12" t="str">
        <x:v>S25</x:v>
      </x:c>
      <x:c r="C412" s="12" t="str">
        <x:v>ST-2502</x:v>
      </x:c>
      <x:c r="D412" s="12" t="str">
        <x:v>QA_AGENT</x:v>
      </x:c>
      <x:c r="E412" s="12" t="str">
        <x:v>Chạy 128 tổ hợp fragment và ba lựa chọn</x:v>
      </x:c>
      <x:c r="F412" s="12" t="str">
        <x:v>NOT_STARTED</x:v>
      </x:c>
      <x:c r="G412" s="12" t="str">
        <x:v>T-250101, T-250102, T-250103, T-250104, T-250203</x:v>
      </x:c>
      <x:c r="H412" s="12" t="str">
        <x:v>tests/endings/test_eligibility.gd</x:v>
      </x:c>
      <x:c r="I412" s="12" t="str">
        <x:v>ARTIFACT_REVIEW, ENGINE_TEST, RENDERED_RUNTIME</x:v>
      </x:c>
      <x:c r="J412" s="12" t="str">
        <x:v>S</x:v>
      </x:c>
      <x:c r="K412" s="12" t="str">
        <x:v>reports/tasks/T-250204/evidence.json</x:v>
      </x:c>
      <x:c r="L412" s="12" t="str">
        <x:v>tasks/T-250204.md</x:v>
      </x:c>
      <x:c r="M412" s="12" t="str">
        <x:v>none</x:v>
      </x:c>
    </x:row>
    <x:row r="413" ht="58" customHeight="1">
      <x:c r="A413" s="12" t="str">
        <x:v>T-250301</x:v>
      </x:c>
      <x:c r="B413" s="12" t="str">
        <x:v>S25</x:v>
      </x:c>
      <x:c r="C413" s="12" t="str">
        <x:v>ST-2503</x:v>
      </x:c>
      <x:c r="D413" s="12" t="str">
        <x:v>GAMEPLAY_AGENT</x:v>
      </x:c>
      <x:c r="E413" s="12" t="str">
        <x:v>Audit CH01 và payoff M01 theo baseline mới</x:v>
      </x:c>
      <x:c r="F413" s="12" t="str">
        <x:v>NOT_STARTED</x:v>
      </x:c>
      <x:c r="G413" s="12" t="str">
        <x:v>T-100401, T-100402, T-100403, T-100404, T-250201, T-250202, T-250203, T-250204</x:v>
      </x:c>
      <x:c r="H413" s="12" t="str">
        <x:v>docs/puzzles/P03.md; data/evidence/M01.tres</x:v>
      </x:c>
      <x:c r="I413" s="12" t="str">
        <x:v>ARTIFACT_REVIEW, ENGINE_TEST</x:v>
      </x:c>
      <x:c r="J413" s="12" t="str">
        <x:v>M</x:v>
      </x:c>
      <x:c r="K413" s="12" t="str">
        <x:v>reports/tasks/T-250301/evidence.json</x:v>
      </x:c>
      <x:c r="L413" s="12" t="str">
        <x:v>tasks/T-250301.md</x:v>
      </x:c>
      <x:c r="M413" s="12" t="str">
        <x:v>none</x:v>
      </x:c>
    </x:row>
    <x:row r="414" ht="58" customHeight="1">
      <x:c r="A414" s="12" t="str">
        <x:v>T-250302</x:v>
      </x:c>
      <x:c r="B414" s="12" t="str">
        <x:v>S25</x:v>
      </x:c>
      <x:c r="C414" s="12" t="str">
        <x:v>ST-2503</x:v>
      </x:c>
      <x:c r="D414" s="12" t="str">
        <x:v>GAMEPLAY_AGENT</x:v>
      </x:c>
      <x:c r="E414" s="12" t="str">
        <x:v>Audit CH01 full và memory revisit</x:v>
      </x:c>
      <x:c r="F414" s="12" t="str">
        <x:v>NOT_STARTED</x:v>
      </x:c>
      <x:c r="G414" s="12" t="str">
        <x:v>T-100401, T-100402, T-100403, T-100404, T-250201, T-250202, T-250203, T-250204, T-250301</x:v>
      </x:c>
      <x:c r="H414" s="12" t="str">
        <x:v>scenes/levels/ch01_full.tscn</x:v>
      </x:c>
      <x:c r="I414" s="12" t="str">
        <x:v>ARTIFACT_REVIEW, ENGINE_TEST</x:v>
      </x:c>
      <x:c r="J414" s="12" t="str">
        <x:v>L</x:v>
      </x:c>
      <x:c r="K414" s="12" t="str">
        <x:v>reports/tasks/T-250302/evidence.json</x:v>
      </x:c>
      <x:c r="L414" s="12" t="str">
        <x:v>tasks/T-250302.md</x:v>
      </x:c>
      <x:c r="M414" s="12" t="str">
        <x:v>none</x:v>
      </x:c>
    </x:row>
    <x:row r="415" ht="58" customHeight="1">
      <x:c r="A415" s="12" t="str">
        <x:v>T-250303</x:v>
      </x:c>
      <x:c r="B415" s="12" t="str">
        <x:v>S25</x:v>
      </x:c>
      <x:c r="C415" s="12" t="str">
        <x:v>ST-2503</x:v>
      </x:c>
      <x:c r="D415" s="12" t="str">
        <x:v>ART_AGENT</x:v>
      </x:c>
      <x:c r="E415" s="12" t="str">
        <x:v>Hoàn thiện prop ảnh và cảnh epilogue tối giản</x:v>
      </x:c>
      <x:c r="F415" s="12" t="str">
        <x:v>NOT_STARTED</x:v>
      </x:c>
      <x:c r="G415" s="12" t="str">
        <x:v>T-100401, T-100402, T-100403, T-100404, T-250201, T-250202, T-250203, T-250204, T-250302</x:v>
      </x:c>
      <x:c r="H415" s="12" t="str">
        <x:v>art/export/endings/; art/export/props/P03/</x:v>
      </x:c>
      <x:c r="I415" s="12" t="str">
        <x:v>ARTIFACT_REVIEW, RENDERED_RUNTIME</x:v>
      </x:c>
      <x:c r="J415" s="12" t="str">
        <x:v>L</x:v>
      </x:c>
      <x:c r="K415" s="12" t="str">
        <x:v>reports/tasks/T-250303/evidence.json</x:v>
      </x:c>
      <x:c r="L415" s="12" t="str">
        <x:v>tasks/T-250303.md</x:v>
      </x:c>
      <x:c r="M415" s="12" t="str">
        <x:v>none</x:v>
      </x:c>
    </x:row>
    <x:row r="416" ht="58" customHeight="1">
      <x:c r="A416" s="12" t="str">
        <x:v>T-250304</x:v>
      </x:c>
      <x:c r="B416" s="12" t="str">
        <x:v>S25</x:v>
      </x:c>
      <x:c r="C416" s="12" t="str">
        <x:v>ST-2503</x:v>
      </x:c>
      <x:c r="D416" s="12" t="str">
        <x:v>QA_AGENT</x:v>
      </x:c>
      <x:c r="E416" s="12" t="str">
        <x:v>Test CH1full → CH2 và save từ slice</x:v>
      </x:c>
      <x:c r="F416" s="12" t="str">
        <x:v>NOT_STARTED</x:v>
      </x:c>
      <x:c r="G416" s="12" t="str">
        <x:v>T-100401, T-100402, T-100403, T-100404, T-250201, T-250202, T-250203, T-250204, T-250303</x:v>
      </x:c>
      <x:c r="H416" s="12" t="str">
        <x:v>reports/S25/ch01_full.md</x:v>
      </x:c>
      <x:c r="I416" s="12" t="str">
        <x:v>ARTIFACT_REVIEW, ENGINE_TEST, RENDERED_RUNTIME</x:v>
      </x:c>
      <x:c r="J416" s="12" t="str">
        <x:v>S</x:v>
      </x:c>
      <x:c r="K416" s="12" t="str">
        <x:v>reports/tasks/T-250304/evidence.json</x:v>
      </x:c>
      <x:c r="L416" s="12" t="str">
        <x:v>tasks/T-250304.md</x:v>
      </x:c>
      <x:c r="M416" s="12" t="str">
        <x:v>none</x:v>
      </x:c>
    </x:row>
    <x:row r="417" ht="58" customHeight="1">
      <x:c r="A417" s="12" t="str">
        <x:v>T-250401</x:v>
      </x:c>
      <x:c r="B417" s="12" t="str">
        <x:v>S25</x:v>
      </x:c>
      <x:c r="C417" s="12" t="str">
        <x:v>ST-2504</x:v>
      </x:c>
      <x:c r="D417" s="12" t="str">
        <x:v>QA_AGENT</x:v>
      </x:c>
      <x:c r="E417" s="12" t="str">
        <x:v>Test route eligibility, final choices và replay</x:v>
      </x:c>
      <x:c r="F417" s="12" t="str">
        <x:v>NOT_STARTED</x:v>
      </x:c>
      <x:c r="G417" s="12" t="str">
        <x:v>T-250301, T-250302, T-250303, T-250304</x:v>
      </x:c>
      <x:c r="H417" s="12" t="str">
        <x:v>reports/S25/ending_matrix.csv</x:v>
      </x:c>
      <x:c r="I417" s="12" t="str">
        <x:v>ARTIFACT_REVIEW, ENGINE_TEST, RENDERED_RUNTIME</x:v>
      </x:c>
      <x:c r="J417" s="12" t="str">
        <x:v>L</x:v>
      </x:c>
      <x:c r="K417" s="12" t="str">
        <x:v>reports/tasks/T-250401/evidence.json</x:v>
      </x:c>
      <x:c r="L417" s="12" t="str">
        <x:v>tasks/T-250401.md</x:v>
      </x:c>
      <x:c r="M417" s="12" t="str">
        <x:v>none</x:v>
      </x:c>
    </x:row>
    <x:row r="418" ht="58" customHeight="1">
      <x:c r="A418" s="12" t="str">
        <x:v>T-250402</x:v>
      </x:c>
      <x:c r="B418" s="12" t="str">
        <x:v>S25</x:v>
      </x:c>
      <x:c r="C418" s="12" t="str">
        <x:v>ST-2504</x:v>
      </x:c>
      <x:c r="D418" s="12" t="str">
        <x:v>AUDIO_AGENT</x:v>
      </x:c>
      <x:c r="E418" s="12" t="str">
        <x:v>Hoàn thiện 3 biến thể ending motif</x:v>
      </x:c>
      <x:c r="F418" s="12" t="str">
        <x:v>NOT_STARTED</x:v>
      </x:c>
      <x:c r="G418" s="12" t="str">
        <x:v>T-250301, T-250302, T-250303, T-250304, T-250401</x:v>
      </x:c>
      <x:c r="H418" s="12" t="str">
        <x:v>audio/music/endings/</x:v>
      </x:c>
      <x:c r="I418" s="12" t="str">
        <x:v>ARTIFACT_REVIEW, AUDIO_REVIEW</x:v>
      </x:c>
      <x:c r="J418" s="12" t="str">
        <x:v>L</x:v>
      </x:c>
      <x:c r="K418" s="12" t="str">
        <x:v>reports/tasks/T-250402/evidence.json</x:v>
      </x:c>
      <x:c r="L418" s="12" t="str">
        <x:v>tasks/T-250402.md</x:v>
      </x:c>
      <x:c r="M418" s="12" t="str">
        <x:v>none</x:v>
      </x:c>
    </x:row>
    <x:row r="419" ht="58" customHeight="1">
      <x:c r="A419" s="12" t="str">
        <x:v>T-250403</x:v>
      </x:c>
      <x:c r="B419" s="12" t="str">
        <x:v>S25</x:v>
      </x:c>
      <x:c r="C419" s="12" t="str">
        <x:v>ST-2504</x:v>
      </x:c>
      <x:c r="D419" s="12" t="str">
        <x:v>QA_AGENT</x:v>
      </x:c>
      <x:c r="E419" s="12" t="str">
        <x:v>Sửa branch blockers và ghép ending audio</x:v>
      </x:c>
      <x:c r="F419" s="12" t="str">
        <x:v>NOT_STARTED</x:v>
      </x:c>
      <x:c r="G419" s="12" t="str">
        <x:v>T-250301, T-250302, T-250303, T-250304, T-250402</x:v>
      </x:c>
      <x:c r="H419" s="12" t="str">
        <x:v>reports/S25/ending_retest.md</x:v>
      </x:c>
      <x:c r="I419" s="12" t="str">
        <x:v>ARTIFACT_REVIEW, ENGINE_TEST, RENDERED_RUNTIME</x:v>
      </x:c>
      <x:c r="J419" s="12" t="str">
        <x:v>M</x:v>
      </x:c>
      <x:c r="K419" s="12" t="str">
        <x:v>reports/tasks/T-250403/evidence.json</x:v>
      </x:c>
      <x:c r="L419" s="12" t="str">
        <x:v>tasks/T-250403.md</x:v>
      </x:c>
      <x:c r="M419" s="12" t="str">
        <x:v>none</x:v>
      </x:c>
    </x:row>
    <x:row r="420" ht="58" customHeight="1">
      <x:c r="A420" s="12" t="str">
        <x:v>T-250404</x:v>
      </x:c>
      <x:c r="B420" s="12" t="str">
        <x:v>S25</x:v>
      </x:c>
      <x:c r="C420" s="12" t="str">
        <x:v>ST-2504</x:v>
      </x:c>
      <x:c r="D420" s="12" t="str">
        <x:v>ORCHESTRATOR</x:v>
      </x:c>
      <x:c r="E420" s="12" t="str">
        <x:v>Review phạm vi còn thiếu trước content freeze</x:v>
      </x:c>
      <x:c r="F420" s="12" t="str">
        <x:v>NOT_STARTED</x:v>
      </x:c>
      <x:c r="G420" s="12" t="str">
        <x:v>T-250301, T-250302, T-250303, T-250304, T-250403</x:v>
      </x:c>
      <x:c r="H420" s="12" t="str">
        <x:v>reports/S25/review.md</x:v>
      </x:c>
      <x:c r="I420" s="12" t="str">
        <x:v>ARTIFACT_REVIEW</x:v>
      </x:c>
      <x:c r="J420" s="12" t="str">
        <x:v>S</x:v>
      </x:c>
      <x:c r="K420" s="12" t="str">
        <x:v>reports/tasks/T-250404/evidence.json</x:v>
      </x:c>
      <x:c r="L420" s="12" t="str">
        <x:v>tasks/T-250404.md</x:v>
      </x:c>
      <x:c r="M420" s="12" t="str">
        <x:v>none</x:v>
      </x:c>
    </x:row>
    <x:row r="421" ht="58" customHeight="1">
      <x:c r="A421" s="12" t="str">
        <x:v>T-260101</x:v>
      </x:c>
      <x:c r="B421" s="12" t="str">
        <x:v>S26</x:v>
      </x:c>
      <x:c r="C421" s="12" t="str">
        <x:v>ST-2601</x:v>
      </x:c>
      <x:c r="D421" s="12" t="str">
        <x:v>GAMEPLAY_AGENT</x:v>
      </x:c>
      <x:c r="E421" s="12" t="str">
        <x:v>Chạy content validator và đối chiếu traceability</x:v>
      </x:c>
      <x:c r="F421" s="12" t="str">
        <x:v>NOT_STARTED</x:v>
      </x:c>
      <x:c r="G421" s="12" t="str">
        <x:v>T-250401, T-250402, T-250403, T-250404</x:v>
      </x:c>
      <x:c r="H421" s="12" t="str">
        <x:v>reports/S26/content_inventory.csv</x:v>
      </x:c>
      <x:c r="I421" s="12" t="str">
        <x:v>ARTIFACT_REVIEW, ENGINE_TEST</x:v>
      </x:c>
      <x:c r="J421" s="12" t="str">
        <x:v>M</x:v>
      </x:c>
      <x:c r="K421" s="12" t="str">
        <x:v>reports/tasks/T-260101/evidence.json</x:v>
      </x:c>
      <x:c r="L421" s="12" t="str">
        <x:v>tasks/T-260101.md</x:v>
      </x:c>
      <x:c r="M421" s="12" t="str">
        <x:v>none</x:v>
      </x:c>
    </x:row>
    <x:row r="422" ht="58" customHeight="1">
      <x:c r="A422" s="12" t="str">
        <x:v>T-260102</x:v>
      </x:c>
      <x:c r="B422" s="12" t="str">
        <x:v>S26</x:v>
      </x:c>
      <x:c r="C422" s="12" t="str">
        <x:v>ST-2601</x:v>
      </x:c>
      <x:c r="D422" s="12" t="str">
        <x:v>GAMEPLAY_AGENT</x:v>
      </x:c>
      <x:c r="E422" s="12" t="str">
        <x:v>Kiểm kê critical path và toàn bộ collectibles</x:v>
      </x:c>
      <x:c r="F422" s="12" t="str">
        <x:v>NOT_STARTED</x:v>
      </x:c>
      <x:c r="G422" s="12" t="str">
        <x:v>T-250401, T-250402, T-250403, T-250404, T-260101</x:v>
      </x:c>
      <x:c r="H422" s="12" t="str">
        <x:v>reports/S26/content_walkthrough.md</x:v>
      </x:c>
      <x:c r="I422" s="12" t="str">
        <x:v>ARTIFACT_REVIEW, ENGINE_TEST</x:v>
      </x:c>
      <x:c r="J422" s="12" t="str">
        <x:v>L</x:v>
      </x:c>
      <x:c r="K422" s="12" t="str">
        <x:v>reports/tasks/T-260102/evidence.json</x:v>
      </x:c>
      <x:c r="L422" s="12" t="str">
        <x:v>tasks/T-260102.md</x:v>
      </x:c>
      <x:c r="M422" s="12" t="str">
        <x:v>none</x:v>
      </x:c>
    </x:row>
    <x:row r="423" ht="58" customHeight="1">
      <x:c r="A423" s="12" t="str">
        <x:v>T-260103</x:v>
      </x:c>
      <x:c r="B423" s="12" t="str">
        <x:v>S26</x:v>
      </x:c>
      <x:c r="C423" s="12" t="str">
        <x:v>ST-2601</x:v>
      </x:c>
      <x:c r="D423" s="12" t="str">
        <x:v>GAMEPLAY_AGENT</x:v>
      </x:c>
      <x:c r="E423" s="12" t="str">
        <x:v>Thay/đóng các placeholder còn trên tuyến chính</x:v>
      </x:c>
      <x:c r="F423" s="12" t="str">
        <x:v>NOT_STARTED</x:v>
      </x:c>
      <x:c r="G423" s="12" t="str">
        <x:v>T-250401, T-250402, T-250403, T-250404, T-260102</x:v>
      </x:c>
      <x:c r="H423" s="12" t="str">
        <x:v>scenes/levels/; data/story/</x:v>
      </x:c>
      <x:c r="I423" s="12" t="str">
        <x:v>ARTIFACT_REVIEW, ENGINE_TEST</x:v>
      </x:c>
      <x:c r="J423" s="12" t="str">
        <x:v>M</x:v>
      </x:c>
      <x:c r="K423" s="12" t="str">
        <x:v>reports/tasks/T-260103/evidence.json</x:v>
      </x:c>
      <x:c r="L423" s="12" t="str">
        <x:v>tasks/T-260103.md</x:v>
      </x:c>
      <x:c r="M423" s="12" t="str">
        <x:v>none</x:v>
      </x:c>
    </x:row>
    <x:row r="424" ht="58" customHeight="1">
      <x:c r="A424" s="12" t="str">
        <x:v>T-260104</x:v>
      </x:c>
      <x:c r="B424" s="12" t="str">
        <x:v>S26</x:v>
      </x:c>
      <x:c r="C424" s="12" t="str">
        <x:v>ST-2601</x:v>
      </x:c>
      <x:c r="D424" s="12" t="str">
        <x:v>GAMEPLAY_AGENT</x:v>
      </x:c>
      <x:c r="E424" s="12" t="str">
        <x:v>Khóa content feature list trước Alpha</x:v>
      </x:c>
      <x:c r="F424" s="12" t="str">
        <x:v>NOT_STARTED</x:v>
      </x:c>
      <x:c r="G424" s="12" t="str">
        <x:v>T-250401, T-250402, T-250403, T-250404, T-260103</x:v>
      </x:c>
      <x:c r="H424" s="12" t="str">
        <x:v>docs/content_freeze.md</x:v>
      </x:c>
      <x:c r="I424" s="12" t="str">
        <x:v>ARTIFACT_REVIEW, ENGINE_TEST</x:v>
      </x:c>
      <x:c r="J424" s="12" t="str">
        <x:v>S</x:v>
      </x:c>
      <x:c r="K424" s="12" t="str">
        <x:v>reports/tasks/T-260104/evidence.json</x:v>
      </x:c>
      <x:c r="L424" s="12" t="str">
        <x:v>tasks/T-260104.md</x:v>
      </x:c>
      <x:c r="M424" s="12" t="str">
        <x:v>none</x:v>
      </x:c>
    </x:row>
    <x:row r="425" ht="58" customHeight="1">
      <x:c r="A425" s="12" t="str">
        <x:v>T-260201</x:v>
      </x:c>
      <x:c r="B425" s="12" t="str">
        <x:v>S26</x:v>
      </x:c>
      <x:c r="C425" s="12" t="str">
        <x:v>ST-2602</x:v>
      </x:c>
      <x:c r="D425" s="12" t="str">
        <x:v>QA_AGENT</x:v>
      </x:c>
      <x:c r="E425" s="12" t="str">
        <x:v>Chạy full route thường và đánh dấu nhịp chơi</x:v>
      </x:c>
      <x:c r="F425" s="12" t="str">
        <x:v>NOT_STARTED</x:v>
      </x:c>
      <x:c r="G425" s="12" t="str">
        <x:v>T-260101, T-260102, T-260103, T-260104</x:v>
      </x:c>
      <x:c r="H425" s="12" t="str">
        <x:v>reports/S26/campaign_normal.md</x:v>
      </x:c>
      <x:c r="I425" s="12" t="str">
        <x:v>ARTIFACT_REVIEW, ENGINE_TEST, RENDERED_RUNTIME</x:v>
      </x:c>
      <x:c r="J425" s="12" t="str">
        <x:v>L</x:v>
      </x:c>
      <x:c r="K425" s="12" t="str">
        <x:v>reports/tasks/T-260201/evidence.json</x:v>
      </x:c>
      <x:c r="L425" s="12" t="str">
        <x:v>tasks/T-260201.md</x:v>
      </x:c>
      <x:c r="M425" s="12" t="str">
        <x:v>none</x:v>
      </x:c>
    </x:row>
    <x:row r="426" ht="58" customHeight="1">
      <x:c r="A426" s="12" t="str">
        <x:v>T-260202</x:v>
      </x:c>
      <x:c r="B426" s="12" t="str">
        <x:v>S26</x:v>
      </x:c>
      <x:c r="C426" s="12" t="str">
        <x:v>ST-2602</x:v>
      </x:c>
      <x:c r="D426" s="12" t="str">
        <x:v>QA_AGENT</x:v>
      </x:c>
      <x:c r="E426" s="12" t="str">
        <x:v>Chạy completionist và secret ending</x:v>
      </x:c>
      <x:c r="F426" s="12" t="str">
        <x:v>NOT_STARTED</x:v>
      </x:c>
      <x:c r="G426" s="12" t="str">
        <x:v>T-260101, T-260102, T-260103, T-260104, T-260201</x:v>
      </x:c>
      <x:c r="H426" s="12" t="str">
        <x:v>reports/S26/campaign_secret.md</x:v>
      </x:c>
      <x:c r="I426" s="12" t="str">
        <x:v>ARTIFACT_REVIEW, ENGINE_TEST, RENDERED_RUNTIME</x:v>
      </x:c>
      <x:c r="J426" s="12" t="str">
        <x:v>L</x:v>
      </x:c>
      <x:c r="K426" s="12" t="str">
        <x:v>reports/tasks/T-260202/evidence.json</x:v>
      </x:c>
      <x:c r="L426" s="12" t="str">
        <x:v>tasks/T-260202.md</x:v>
      </x:c>
      <x:c r="M426" s="12" t="str">
        <x:v>none</x:v>
      </x:c>
    </x:row>
    <x:row r="427" ht="58" customHeight="1">
      <x:c r="A427" s="12" t="str">
        <x:v>T-260203</x:v>
      </x:c>
      <x:c r="B427" s="12" t="str">
        <x:v>S26</x:v>
      </x:c>
      <x:c r="C427" s="12" t="str">
        <x:v>ST-2602</x:v>
      </x:c>
      <x:c r="D427" s="12" t="str">
        <x:v>NARRATIVE_AGENT</x:v>
      </x:c>
      <x:c r="E427" s="12" t="str">
        <x:v>Review timeline/reveal/NPC contradictions</x:v>
      </x:c>
      <x:c r="F427" s="12" t="str">
        <x:v>NOT_STARTED</x:v>
      </x:c>
      <x:c r="G427" s="12" t="str">
        <x:v>T-260101, T-260102, T-260103, T-260104, T-260202</x:v>
      </x:c>
      <x:c r="H427" s="12" t="str">
        <x:v>reports/S26/narrative_audit.md</x:v>
      </x:c>
      <x:c r="I427" s="12" t="str">
        <x:v>ARTIFACT_REVIEW</x:v>
      </x:c>
      <x:c r="J427" s="12" t="str">
        <x:v>L</x:v>
      </x:c>
      <x:c r="K427" s="12" t="str">
        <x:v>reports/tasks/T-260203/evidence.json</x:v>
      </x:c>
      <x:c r="L427" s="12" t="str">
        <x:v>tasks/T-260203.md</x:v>
      </x:c>
      <x:c r="M427" s="12" t="str">
        <x:v>none</x:v>
      </x:c>
    </x:row>
    <x:row r="428" ht="58" customHeight="1">
      <x:c r="A428" s="12" t="str">
        <x:v>T-260204</x:v>
      </x:c>
      <x:c r="B428" s="12" t="str">
        <x:v>S26</x:v>
      </x:c>
      <x:c r="C428" s="12" t="str">
        <x:v>ST-2602</x:v>
      </x:c>
      <x:c r="D428" s="12" t="str">
        <x:v>QA_AGENT</x:v>
      </x:c>
      <x:c r="E428" s="12" t="str">
        <x:v>Sửa lỗi handoff/flag trọng tâm</x:v>
      </x:c>
      <x:c r="F428" s="12" t="str">
        <x:v>NOT_STARTED</x:v>
      </x:c>
      <x:c r="G428" s="12" t="str">
        <x:v>T-260101, T-260102, T-260103, T-260104, T-260203</x:v>
      </x:c>
      <x:c r="H428" s="12" t="str">
        <x:v>tests/regression/campaign_flags/</x:v>
      </x:c>
      <x:c r="I428" s="12" t="str">
        <x:v>ARTIFACT_REVIEW, ENGINE_TEST, RENDERED_RUNTIME</x:v>
      </x:c>
      <x:c r="J428" s="12" t="str">
        <x:v>M</x:v>
      </x:c>
      <x:c r="K428" s="12" t="str">
        <x:v>reports/tasks/T-260204/evidence.json</x:v>
      </x:c>
      <x:c r="L428" s="12" t="str">
        <x:v>tasks/T-260204.md</x:v>
      </x:c>
      <x:c r="M428" s="12" t="str">
        <x:v>none</x:v>
      </x:c>
    </x:row>
    <x:row r="429" ht="58" customHeight="1">
      <x:c r="A429" s="12" t="str">
        <x:v>T-260301</x:v>
      </x:c>
      <x:c r="B429" s="12" t="str">
        <x:v>S26</x:v>
      </x:c>
      <x:c r="C429" s="12" t="str">
        <x:v>ST-2603</x:v>
      </x:c>
      <x:c r="D429" s="12" t="str">
        <x:v>ART_AGENT</x:v>
      </x:c>
      <x:c r="E429" s="12" t="str">
        <x:v>Audit visual asset và sửa bất nhất dễ thấy</x:v>
      </x:c>
      <x:c r="F429" s="12" t="str">
        <x:v>NOT_STARTED</x:v>
      </x:c>
      <x:c r="G429" s="12" t="str">
        <x:v>T-260101, T-260102, T-260103, T-260104</x:v>
      </x:c>
      <x:c r="H429" s="12" t="str">
        <x:v>reports/S26/art_audit.csv</x:v>
      </x:c>
      <x:c r="I429" s="12" t="str">
        <x:v>ARTIFACT_REVIEW, RENDERED_RUNTIME</x:v>
      </x:c>
      <x:c r="J429" s="12" t="str">
        <x:v>L</x:v>
      </x:c>
      <x:c r="K429" s="12" t="str">
        <x:v>reports/tasks/T-260301/evidence.json</x:v>
      </x:c>
      <x:c r="L429" s="12" t="str">
        <x:v>tasks/T-260301.md</x:v>
      </x:c>
      <x:c r="M429" s="12" t="str">
        <x:v>none</x:v>
      </x:c>
    </x:row>
    <x:row r="430" ht="58" customHeight="1">
      <x:c r="A430" s="12" t="str">
        <x:v>T-260302</x:v>
      </x:c>
      <x:c r="B430" s="12" t="str">
        <x:v>S26</x:v>
      </x:c>
      <x:c r="C430" s="12" t="str">
        <x:v>ST-2603</x:v>
      </x:c>
      <x:c r="D430" s="12" t="str">
        <x:v>ART_AGENT</x:v>
      </x:c>
      <x:c r="E430" s="12" t="str">
        <x:v>Chuẩn hóa nguồn file và delivery cuối của artist</x:v>
      </x:c>
      <x:c r="F430" s="12" t="str">
        <x:v>NOT_STARTED</x:v>
      </x:c>
      <x:c r="G430" s="12" t="str">
        <x:v>T-260101, T-260102, T-260103, T-260104, T-260301</x:v>
      </x:c>
      <x:c r="H430" s="12" t="str">
        <x:v>art/source/; docs/asset_manifest.csv</x:v>
      </x:c>
      <x:c r="I430" s="12" t="str">
        <x:v>ARTIFACT_REVIEW, RENDERED_RUNTIME</x:v>
      </x:c>
      <x:c r="J430" s="12" t="str">
        <x:v>L</x:v>
      </x:c>
      <x:c r="K430" s="12" t="str">
        <x:v>reports/tasks/T-260302/evidence.json</x:v>
      </x:c>
      <x:c r="L430" s="12" t="str">
        <x:v>tasks/T-260302.md</x:v>
      </x:c>
      <x:c r="M430" s="12" t="str">
        <x:v>none</x:v>
      </x:c>
    </x:row>
    <x:row r="431" ht="58" customHeight="1">
      <x:c r="A431" s="12" t="str">
        <x:v>T-260303</x:v>
      </x:c>
      <x:c r="B431" s="12" t="str">
        <x:v>S26</x:v>
      </x:c>
      <x:c r="C431" s="12" t="str">
        <x:v>ST-2603</x:v>
      </x:c>
      <x:c r="D431" s="12" t="str">
        <x:v>AUDIO_AGENT</x:v>
      </x:c>
      <x:c r="E431" s="12" t="str">
        <x:v>Audit quyền nhạc/SFX và cue completeness</x:v>
      </x:c>
      <x:c r="F431" s="12" t="str">
        <x:v>NOT_STARTED</x:v>
      </x:c>
      <x:c r="G431" s="12" t="str">
        <x:v>T-260101, T-260102, T-260103, T-260104, T-260302</x:v>
      </x:c>
      <x:c r="H431" s="12" t="str">
        <x:v>docs/audio_manifest.csv</x:v>
      </x:c>
      <x:c r="I431" s="12" t="str">
        <x:v>ARTIFACT_REVIEW, AUDIO_REVIEW</x:v>
      </x:c>
      <x:c r="J431" s="12" t="str">
        <x:v>L</x:v>
      </x:c>
      <x:c r="K431" s="12" t="str">
        <x:v>reports/tasks/T-260303/evidence.json</x:v>
      </x:c>
      <x:c r="L431" s="12" t="str">
        <x:v>tasks/T-260303.md</x:v>
      </x:c>
      <x:c r="M431" s="12" t="str">
        <x:v>none</x:v>
      </x:c>
    </x:row>
    <x:row r="432" ht="58" customHeight="1">
      <x:c r="A432" s="12" t="str">
        <x:v>T-260304</x:v>
      </x:c>
      <x:c r="B432" s="12" t="str">
        <x:v>S26</x:v>
      </x:c>
      <x:c r="C432" s="12" t="str">
        <x:v>ST-2603</x:v>
      </x:c>
      <x:c r="D432" s="12" t="str">
        <x:v>GAMEPLAY_AGENT</x:v>
      </x:c>
      <x:c r="E432" s="12" t="str">
        <x:v>Ghép attribution/credits và license notices</x:v>
      </x:c>
      <x:c r="F432" s="12" t="str">
        <x:v>NOT_STARTED</x:v>
      </x:c>
      <x:c r="G432" s="12" t="str">
        <x:v>T-260101, T-260102, T-260103, T-260104, T-260303</x:v>
      </x:c>
      <x:c r="H432" s="12" t="str">
        <x:v>data/credits/; THIRD_PARTY_NOTICES.txt</x:v>
      </x:c>
      <x:c r="I432" s="12" t="str">
        <x:v>ARTIFACT_REVIEW, ENGINE_TEST</x:v>
      </x:c>
      <x:c r="J432" s="12" t="str">
        <x:v>M</x:v>
      </x:c>
      <x:c r="K432" s="12" t="str">
        <x:v>reports/tasks/T-260304/evidence.json</x:v>
      </x:c>
      <x:c r="L432" s="12" t="str">
        <x:v>tasks/T-260304.md</x:v>
      </x:c>
      <x:c r="M432" s="12" t="str">
        <x:v>none</x:v>
      </x:c>
    </x:row>
    <x:row r="433" ht="58" customHeight="1">
      <x:c r="A433" s="12" t="str">
        <x:v>T-260401</x:v>
      </x:c>
      <x:c r="B433" s="12" t="str">
        <x:v>S26</x:v>
      </x:c>
      <x:c r="C433" s="12" t="str">
        <x:v>ST-2604</x:v>
      </x:c>
      <x:c r="D433" s="12" t="str">
        <x:v>QA_AGENT</x:v>
      </x:c>
      <x:c r="E433" s="12" t="str">
        <x:v>Sửa blocker còn lại từ walkthrough</x:v>
      </x:c>
      <x:c r="F433" s="12" t="str">
        <x:v>NOT_STARTED</x:v>
      </x:c>
      <x:c r="G433" s="12" t="str">
        <x:v>T-260201, T-260202, T-260203, T-260204, T-260301, T-260302, T-260303, T-260304</x:v>
      </x:c>
      <x:c r="H433" s="12" t="str">
        <x:v>reports/S26/blocker_retest.md</x:v>
      </x:c>
      <x:c r="I433" s="12" t="str">
        <x:v>ARTIFACT_REVIEW, ENGINE_TEST, RENDERED_RUNTIME</x:v>
      </x:c>
      <x:c r="J433" s="12" t="str">
        <x:v>L</x:v>
      </x:c>
      <x:c r="K433" s="12" t="str">
        <x:v>reports/tasks/T-260401/evidence.json</x:v>
      </x:c>
      <x:c r="L433" s="12" t="str">
        <x:v>tasks/T-260401.md</x:v>
      </x:c>
      <x:c r="M433" s="12" t="str">
        <x:v>none</x:v>
      </x:c>
    </x:row>
    <x:row r="434" ht="58" customHeight="1">
      <x:c r="A434" s="12" t="str">
        <x:v>T-260402</x:v>
      </x:c>
      <x:c r="B434" s="12" t="str">
        <x:v>S26</x:v>
      </x:c>
      <x:c r="C434" s="12" t="str">
        <x:v>ST-2604</x:v>
      </x:c>
      <x:c r="D434" s="12" t="str">
        <x:v>ORCHESTRATOR</x:v>
      </x:c>
      <x:c r="E434" s="12" t="str">
        <x:v>Cập nhật forecast theo actual và burn-down lỗi</x:v>
      </x:c>
      <x:c r="F434" s="12" t="str">
        <x:v>NOT_STARTED</x:v>
      </x:c>
      <x:c r="G434" s="12" t="str">
        <x:v>T-260201, T-260202, T-260203, T-260204, T-260301, T-260302, T-260303, T-260304, T-260401</x:v>
      </x:c>
      <x:c r="H434" s="12" t="str">
        <x:v>docs/forecast_G4.md</x:v>
      </x:c>
      <x:c r="I434" s="12" t="str">
        <x:v>ARTIFACT_REVIEW</x:v>
      </x:c>
      <x:c r="J434" s="12" t="str">
        <x:v>L</x:v>
      </x:c>
      <x:c r="K434" s="12" t="str">
        <x:v>reports/tasks/T-260402/evidence.json</x:v>
      </x:c>
      <x:c r="L434" s="12" t="str">
        <x:v>tasks/T-260402.md</x:v>
      </x:c>
      <x:c r="M434" s="12" t="str">
        <x:v>none</x:v>
      </x:c>
    </x:row>
    <x:row r="435" ht="58" customHeight="1">
      <x:c r="A435" s="12" t="str">
        <x:v>T-260403</x:v>
      </x:c>
      <x:c r="B435" s="12" t="str">
        <x:v>S26</x:v>
      </x:c>
      <x:c r="C435" s="12" t="str">
        <x:v>ST-2604</x:v>
      </x:c>
      <x:c r="D435" s="12" t="str">
        <x:v>QA_AGENT</x:v>
      </x:c>
      <x:c r="E435" s="12" t="str">
        <x:v>Khóa quality target và thiết bị test cụ thể</x:v>
      </x:c>
      <x:c r="F435" s="12" t="str">
        <x:v>NOT_STARTED</x:v>
      </x:c>
      <x:c r="G435" s="12" t="str">
        <x:v>T-260201, T-260202, T-260203, T-260204, T-260301, T-260302, T-260303, T-260304, T-260402</x:v>
      </x:c>
      <x:c r="H435" s="12" t="str">
        <x:v>docs/hardware_test_matrix.md</x:v>
      </x:c>
      <x:c r="I435" s="12" t="str">
        <x:v>ARTIFACT_REVIEW, ENGINE_TEST, RENDERED_RUNTIME</x:v>
      </x:c>
      <x:c r="J435" s="12" t="str">
        <x:v>M</x:v>
      </x:c>
      <x:c r="K435" s="12" t="str">
        <x:v>reports/tasks/T-260403/evidence.json</x:v>
      </x:c>
      <x:c r="L435" s="12" t="str">
        <x:v>tasks/T-260403.md</x:v>
      </x:c>
      <x:c r="M435" s="12" t="str">
        <x:v>none</x:v>
      </x:c>
    </x:row>
    <x:row r="436" ht="58" customHeight="1">
      <x:c r="A436" s="12" t="str">
        <x:v>T-260404</x:v>
      </x:c>
      <x:c r="B436" s="12" t="str">
        <x:v>S26</x:v>
      </x:c>
      <x:c r="C436" s="12" t="str">
        <x:v>ST-2604</x:v>
      </x:c>
      <x:c r="D436" s="12" t="str">
        <x:v>ORCHESTRATOR</x:v>
      </x:c>
      <x:c r="E436" s="12" t="str">
        <x:v>Review G4 và yêu cầu RS03 nếu cần</x:v>
      </x:c>
      <x:c r="F436" s="12" t="str">
        <x:v>NOT_STARTED</x:v>
      </x:c>
      <x:c r="G436" s="12" t="str">
        <x:v>T-260201, T-260202, T-260203, T-260204, T-260301, T-260302, T-260303, T-260304, T-260403</x:v>
      </x:c>
      <x:c r="H436" s="12" t="str">
        <x:v>reports/S26/gate_G4.md</x:v>
      </x:c>
      <x:c r="I436" s="12" t="str">
        <x:v>ARTIFACT_REVIEW</x:v>
      </x:c>
      <x:c r="J436" s="12" t="str">
        <x:v>M</x:v>
      </x:c>
      <x:c r="K436" s="12" t="str">
        <x:v>reports/tasks/T-260404/evidence.json</x:v>
      </x:c>
      <x:c r="L436" s="12" t="str">
        <x:v>tasks/T-260404.md</x:v>
      </x:c>
      <x:c r="M436" s="12" t="str">
        <x:v>none</x:v>
      </x:c>
    </x:row>
    <x:row r="437" ht="58" customHeight="1">
      <x:c r="A437" s="12" t="str">
        <x:v>T-270101</x:v>
      </x:c>
      <x:c r="B437" s="12" t="str">
        <x:v>S27</x:v>
      </x:c>
      <x:c r="C437" s="12" t="str">
        <x:v>ST-2701</x:v>
      </x:c>
      <x:c r="D437" s="12" t="str">
        <x:v>ORCHESTRATOR</x:v>
      </x:c>
      <x:c r="E437" s="12" t="str">
        <x:v>Lập risk map collider/nav/phase từng chương</x:v>
      </x:c>
      <x:c r="F437" s="12" t="str">
        <x:v>NOT_STARTED</x:v>
      </x:c>
      <x:c r="G437" s="12" t="str">
        <x:v>T-260401, T-260402, T-260403, T-260404</x:v>
      </x:c>
      <x:c r="H437" s="12" t="str">
        <x:v>reports/S27/world_risk_map.csv</x:v>
      </x:c>
      <x:c r="I437" s="12" t="str">
        <x:v>ARTIFACT_REVIEW</x:v>
      </x:c>
      <x:c r="J437" s="12" t="str">
        <x:v>M</x:v>
      </x:c>
      <x:c r="K437" s="12" t="str">
        <x:v>reports/tasks/T-270101/evidence.json</x:v>
      </x:c>
      <x:c r="L437" s="12" t="str">
        <x:v>tasks/T-270101.md</x:v>
      </x:c>
      <x:c r="M437" s="12" t="str">
        <x:v>none</x:v>
      </x:c>
    </x:row>
    <x:row r="438" ht="58" customHeight="1">
      <x:c r="A438" s="12" t="str">
        <x:v>T-270102</x:v>
      </x:c>
      <x:c r="B438" s="12" t="str">
        <x:v>S27</x:v>
      </x:c>
      <x:c r="C438" s="12" t="str">
        <x:v>ST-2701</x:v>
      </x:c>
      <x:c r="D438" s="12" t="str">
        <x:v>GAMEPLAY_AGENT</x:v>
      </x:c>
      <x:c r="E438" s="12" t="str">
        <x:v>Sửa lỗi phase transaction và nav handover</x:v>
      </x:c>
      <x:c r="F438" s="12" t="str">
        <x:v>NOT_STARTED</x:v>
      </x:c>
      <x:c r="G438" s="12" t="str">
        <x:v>T-260401, T-260402, T-260403, T-260404, T-270101</x:v>
      </x:c>
      <x:c r="H438" s="12" t="str">
        <x:v>scripts/world/; scripts/ai/</x:v>
      </x:c>
      <x:c r="I438" s="12" t="str">
        <x:v>ARTIFACT_REVIEW, ENGINE_TEST</x:v>
      </x:c>
      <x:c r="J438" s="12" t="str">
        <x:v>L</x:v>
      </x:c>
      <x:c r="K438" s="12" t="str">
        <x:v>reports/tasks/T-270102/evidence.json</x:v>
      </x:c>
      <x:c r="L438" s="12" t="str">
        <x:v>tasks/T-270102.md</x:v>
      </x:c>
      <x:c r="M438" s="12" t="str">
        <x:v>none</x:v>
      </x:c>
    </x:row>
    <x:row r="439" ht="58" customHeight="1">
      <x:c r="A439" s="12" t="str">
        <x:v>T-270103</x:v>
      </x:c>
      <x:c r="B439" s="12" t="str">
        <x:v>S27</x:v>
      </x:c>
      <x:c r="C439" s="12" t="str">
        <x:v>ST-2701</x:v>
      </x:c>
      <x:c r="D439" s="12" t="str">
        <x:v>QA_AGENT</x:v>
      </x:c>
      <x:c r="E439" s="12" t="str">
        <x:v>Viết fixtures edge cases và regression harness</x:v>
      </x:c>
      <x:c r="F439" s="12" t="str">
        <x:v>NOT_STARTED</x:v>
      </x:c>
      <x:c r="G439" s="12" t="str">
        <x:v>T-260401, T-260402, T-260403, T-260404, T-270102</x:v>
      </x:c>
      <x:c r="H439" s="12" t="str">
        <x:v>tests/world/campaign/</x:v>
      </x:c>
      <x:c r="I439" s="12" t="str">
        <x:v>ARTIFACT_REVIEW, ENGINE_TEST, RENDERED_RUNTIME</x:v>
      </x:c>
      <x:c r="J439" s="12" t="str">
        <x:v>L</x:v>
      </x:c>
      <x:c r="K439" s="12" t="str">
        <x:v>reports/tasks/T-270103/evidence.json</x:v>
      </x:c>
      <x:c r="L439" s="12" t="str">
        <x:v>tasks/T-270103.md</x:v>
      </x:c>
      <x:c r="M439" s="12" t="str">
        <x:v>none</x:v>
      </x:c>
    </x:row>
    <x:row r="440" ht="58" customHeight="1">
      <x:c r="A440" s="12" t="str">
        <x:v>T-270104</x:v>
      </x:c>
      <x:c r="B440" s="12" t="str">
        <x:v>S27</x:v>
      </x:c>
      <x:c r="C440" s="12" t="str">
        <x:v>ST-2701</x:v>
      </x:c>
      <x:c r="D440" s="12" t="str">
        <x:v>GAMEPLAY_AGENT</x:v>
      </x:c>
      <x:c r="E440" s="12" t="str">
        <x:v>Chạy stress switch trong exported build</x:v>
      </x:c>
      <x:c r="F440" s="12" t="str">
        <x:v>NOT_STARTED</x:v>
      </x:c>
      <x:c r="G440" s="12" t="str">
        <x:v>T-260401, T-260402, T-260403, T-260404, T-270103</x:v>
      </x:c>
      <x:c r="H440" s="12" t="str">
        <x:v>reports/S27/world_stress.md</x:v>
      </x:c>
      <x:c r="I440" s="12" t="str">
        <x:v>ARTIFACT_REVIEW, ENGINE_TEST</x:v>
      </x:c>
      <x:c r="J440" s="12" t="str">
        <x:v>S</x:v>
      </x:c>
      <x:c r="K440" s="12" t="str">
        <x:v>reports/tasks/T-270104/evidence.json</x:v>
      </x:c>
      <x:c r="L440" s="12" t="str">
        <x:v>tasks/T-270104.md</x:v>
      </x:c>
      <x:c r="M440" s="12" t="str">
        <x:v>none</x:v>
      </x:c>
    </x:row>
    <x:row r="441" ht="58" customHeight="1">
      <x:c r="A441" s="12" t="str">
        <x:v>T-270201</x:v>
      </x:c>
      <x:c r="B441" s="12" t="str">
        <x:v>S27</x:v>
      </x:c>
      <x:c r="C441" s="12" t="str">
        <x:v>ST-2702</x:v>
      </x:c>
      <x:c r="D441" s="12" t="str">
        <x:v>QA_AGENT</x:v>
      </x:c>
      <x:c r="E441" s="12" t="str">
        <x:v>Mở rộng save fixture matrix bảy chapter</x:v>
      </x:c>
      <x:c r="F441" s="12" t="str">
        <x:v>NOT_STARTED</x:v>
      </x:c>
      <x:c r="G441" s="12" t="str">
        <x:v>T-270101, T-270102, T-270103, T-270104</x:v>
      </x:c>
      <x:c r="H441" s="12" t="str">
        <x:v>tests/fixtures/saves/campaign/</x:v>
      </x:c>
      <x:c r="I441" s="12" t="str">
        <x:v>ARTIFACT_REVIEW, ENGINE_TEST, RENDERED_RUNTIME</x:v>
      </x:c>
      <x:c r="J441" s="12" t="str">
        <x:v>M</x:v>
      </x:c>
      <x:c r="K441" s="12" t="str">
        <x:v>reports/tasks/T-270201/evidence.json</x:v>
      </x:c>
      <x:c r="L441" s="12" t="str">
        <x:v>tasks/T-270201.md</x:v>
      </x:c>
      <x:c r="M441" s="12" t="str">
        <x:v>none</x:v>
      </x:c>
    </x:row>
    <x:row r="442" ht="58" customHeight="1">
      <x:c r="A442" s="12" t="str">
        <x:v>T-270202</x:v>
      </x:c>
      <x:c r="B442" s="12" t="str">
        <x:v>S27</x:v>
      </x:c>
      <x:c r="C442" s="12" t="str">
        <x:v>ST-2702</x:v>
      </x:c>
      <x:c r="D442" s="12" t="str">
        <x:v>GAMEPLAY_AGENT</x:v>
      </x:c>
      <x:c r="E442" s="12" t="str">
        <x:v>Sửa migration/validation/recovery errors</x:v>
      </x:c>
      <x:c r="F442" s="12" t="str">
        <x:v>NOT_STARTED</x:v>
      </x:c>
      <x:c r="G442" s="12" t="str">
        <x:v>T-270101, T-270102, T-270103, T-270104, T-270201</x:v>
      </x:c>
      <x:c r="H442" s="12" t="str">
        <x:v>scripts/save/</x:v>
      </x:c>
      <x:c r="I442" s="12" t="str">
        <x:v>ARTIFACT_REVIEW, ENGINE_TEST</x:v>
      </x:c>
      <x:c r="J442" s="12" t="str">
        <x:v>L</x:v>
      </x:c>
      <x:c r="K442" s="12" t="str">
        <x:v>reports/tasks/T-270202/evidence.json</x:v>
      </x:c>
      <x:c r="L442" s="12" t="str">
        <x:v>tasks/T-270202.md</x:v>
      </x:c>
      <x:c r="M442" s="12" t="str">
        <x:v>none</x:v>
      </x:c>
    </x:row>
    <x:row r="443" ht="58" customHeight="1">
      <x:c r="A443" s="12" t="str">
        <x:v>T-270203</x:v>
      </x:c>
      <x:c r="B443" s="12" t="str">
        <x:v>S27</x:v>
      </x:c>
      <x:c r="C443" s="12" t="str">
        <x:v>ST-2702</x:v>
      </x:c>
      <x:c r="D443" s="12" t="str">
        <x:v>QA_AGENT</x:v>
      </x:c>
      <x:c r="E443" s="12" t="str">
        <x:v>Fault-injection lúc ghi và level transition</x:v>
      </x:c>
      <x:c r="F443" s="12" t="str">
        <x:v>NOT_STARTED</x:v>
      </x:c>
      <x:c r="G443" s="12" t="str">
        <x:v>T-270101, T-270102, T-270103, T-270104, T-270202</x:v>
      </x:c>
      <x:c r="H443" s="12" t="str">
        <x:v>tests/save/fault_injection.gd</x:v>
      </x:c>
      <x:c r="I443" s="12" t="str">
        <x:v>ARTIFACT_REVIEW, ENGINE_TEST, RENDERED_RUNTIME</x:v>
      </x:c>
      <x:c r="J443" s="12" t="str">
        <x:v>M</x:v>
      </x:c>
      <x:c r="K443" s="12" t="str">
        <x:v>reports/tasks/T-270203/evidence.json</x:v>
      </x:c>
      <x:c r="L443" s="12" t="str">
        <x:v>tasks/T-270203.md</x:v>
      </x:c>
      <x:c r="M443" s="12" t="str">
        <x:v>none</x:v>
      </x:c>
    </x:row>
    <x:row r="444" ht="58" customHeight="1">
      <x:c r="A444" s="12" t="str">
        <x:v>T-270204</x:v>
      </x:c>
      <x:c r="B444" s="12" t="str">
        <x:v>S27</x:v>
      </x:c>
      <x:c r="C444" s="12" t="str">
        <x:v>ST-2702</x:v>
      </x:c>
      <x:c r="D444" s="12" t="str">
        <x:v>QA_AGENT</x:v>
      </x:c>
      <x:c r="E444" s="12" t="str">
        <x:v>Retest golden saves và final checkpoint</x:v>
      </x:c>
      <x:c r="F444" s="12" t="str">
        <x:v>NOT_STARTED</x:v>
      </x:c>
      <x:c r="G444" s="12" t="str">
        <x:v>T-270101, T-270102, T-270103, T-270104, T-270203</x:v>
      </x:c>
      <x:c r="H444" s="12" t="str">
        <x:v>reports/S27/save_regression.md</x:v>
      </x:c>
      <x:c r="I444" s="12" t="str">
        <x:v>ARTIFACT_REVIEW, ENGINE_TEST, RENDERED_RUNTIME</x:v>
      </x:c>
      <x:c r="J444" s="12" t="str">
        <x:v>S</x:v>
      </x:c>
      <x:c r="K444" s="12" t="str">
        <x:v>reports/tasks/T-270204/evidence.json</x:v>
      </x:c>
      <x:c r="L444" s="12" t="str">
        <x:v>tasks/T-270204.md</x:v>
      </x:c>
      <x:c r="M444" s="12" t="str">
        <x:v>none</x:v>
      </x:c>
    </x:row>
    <x:row r="445" ht="58" customHeight="1">
      <x:c r="A445" s="12" t="str">
        <x:v>T-270301</x:v>
      </x:c>
      <x:c r="B445" s="12" t="str">
        <x:v>S27</x:v>
      </x:c>
      <x:c r="C445" s="12" t="str">
        <x:v>ST-2703</x:v>
      </x:c>
      <x:c r="D445" s="12" t="str">
        <x:v>QA_AGENT</x:v>
      </x:c>
      <x:c r="E445" s="12" t="str">
        <x:v>Chạy ma trận switch/skip/load/retry</x:v>
      </x:c>
      <x:c r="F445" s="12" t="str">
        <x:v>NOT_STARTED</x:v>
      </x:c>
      <x:c r="G445" s="12" t="str">
        <x:v>T-270201, T-270202, T-270203, T-270204</x:v>
      </x:c>
      <x:c r="H445" s="12" t="str">
        <x:v>reports/S27/qa_matrix.csv</x:v>
      </x:c>
      <x:c r="I445" s="12" t="str">
        <x:v>ARTIFACT_REVIEW, ENGINE_TEST, RENDERED_RUNTIME</x:v>
      </x:c>
      <x:c r="J445" s="12" t="str">
        <x:v>L</x:v>
      </x:c>
      <x:c r="K445" s="12" t="str">
        <x:v>reports/tasks/T-270301/evidence.json</x:v>
      </x:c>
      <x:c r="L445" s="12" t="str">
        <x:v>tasks/T-270301.md</x:v>
      </x:c>
      <x:c r="M445" s="12" t="str">
        <x:v>none</x:v>
      </x:c>
    </x:row>
    <x:row r="446" ht="58" customHeight="1">
      <x:c r="A446" s="12" t="str">
        <x:v>T-270302</x:v>
      </x:c>
      <x:c r="B446" s="12" t="str">
        <x:v>S27</x:v>
      </x:c>
      <x:c r="C446" s="12" t="str">
        <x:v>ST-2703</x:v>
      </x:c>
      <x:c r="D446" s="12" t="str">
        <x:v>QA_AGENT</x:v>
      </x:c>
      <x:c r="E446" s="12" t="str">
        <x:v>Chạy soak test và session dài</x:v>
      </x:c>
      <x:c r="F446" s="12" t="str">
        <x:v>NOT_STARTED</x:v>
      </x:c>
      <x:c r="G446" s="12" t="str">
        <x:v>T-270201, T-270202, T-270203, T-270204, T-270301</x:v>
      </x:c>
      <x:c r="H446" s="12" t="str">
        <x:v>reports/S27/soak.md</x:v>
      </x:c>
      <x:c r="I446" s="12" t="str">
        <x:v>ARTIFACT_REVIEW, ENGINE_TEST, RENDERED_RUNTIME</x:v>
      </x:c>
      <x:c r="J446" s="12" t="str">
        <x:v>L</x:v>
      </x:c>
      <x:c r="K446" s="12" t="str">
        <x:v>reports/tasks/T-270302/evidence.json</x:v>
      </x:c>
      <x:c r="L446" s="12" t="str">
        <x:v>tasks/T-270302.md</x:v>
      </x:c>
      <x:c r="M446" s="12" t="str">
        <x:v>none</x:v>
      </x:c>
    </x:row>
    <x:row r="447" ht="58" customHeight="1">
      <x:c r="A447" s="12" t="str">
        <x:v>T-270303</x:v>
      </x:c>
      <x:c r="B447" s="12" t="str">
        <x:v>S27</x:v>
      </x:c>
      <x:c r="C447" s="12" t="str">
        <x:v>ST-2703</x:v>
      </x:c>
      <x:c r="D447" s="12" t="str">
        <x:v>GAMEPLAY_AGENT</x:v>
      </x:c>
      <x:c r="E447" s="12" t="str">
        <x:v>Triage severity và root causes</x:v>
      </x:c>
      <x:c r="F447" s="12" t="str">
        <x:v>NOT_STARTED</x:v>
      </x:c>
      <x:c r="G447" s="12" t="str">
        <x:v>T-270201, T-270202, T-270203, T-270204, T-270302</x:v>
      </x:c>
      <x:c r="H447" s="12" t="str">
        <x:v>reports/S27/triage.md</x:v>
      </x:c>
      <x:c r="I447" s="12" t="str">
        <x:v>ARTIFACT_REVIEW, ENGINE_TEST</x:v>
      </x:c>
      <x:c r="J447" s="12" t="str">
        <x:v>M</x:v>
      </x:c>
      <x:c r="K447" s="12" t="str">
        <x:v>reports/tasks/T-270303/evidence.json</x:v>
      </x:c>
      <x:c r="L447" s="12" t="str">
        <x:v>tasks/T-270303.md</x:v>
      </x:c>
      <x:c r="M447" s="12" t="str">
        <x:v>none</x:v>
      </x:c>
    </x:row>
    <x:row r="448" ht="58" customHeight="1">
      <x:c r="A448" s="12" t="str">
        <x:v>T-270304</x:v>
      </x:c>
      <x:c r="B448" s="12" t="str">
        <x:v>S27</x:v>
      </x:c>
      <x:c r="C448" s="12" t="str">
        <x:v>ST-2703</x:v>
      </x:c>
      <x:c r="D448" s="12" t="str">
        <x:v>QA_AGENT</x:v>
      </x:c>
      <x:c r="E448" s="12" t="str">
        <x:v>Sửa nhóm lỗi ưu tiên cao có thể hoàn tất trong sprint</x:v>
      </x:c>
      <x:c r="F448" s="12" t="str">
        <x:v>NOT_STARTED</x:v>
      </x:c>
      <x:c r="G448" s="12" t="str">
        <x:v>T-270201, T-270202, T-270203, T-270204, T-270303</x:v>
      </x:c>
      <x:c r="H448" s="12" t="str">
        <x:v>reports/S27/retest_queue.md</x:v>
      </x:c>
      <x:c r="I448" s="12" t="str">
        <x:v>ARTIFACT_REVIEW, ENGINE_TEST, RENDERED_RUNTIME</x:v>
      </x:c>
      <x:c r="J448" s="12" t="str">
        <x:v>M</x:v>
      </x:c>
      <x:c r="K448" s="12" t="str">
        <x:v>reports/tasks/T-270304/evidence.json</x:v>
      </x:c>
      <x:c r="L448" s="12" t="str">
        <x:v>tasks/T-270304.md</x:v>
      </x:c>
      <x:c r="M448" s="12" t="str">
        <x:v>none</x:v>
      </x:c>
    </x:row>
    <x:row r="449" ht="58" customHeight="1">
      <x:c r="A449" s="12" t="str">
        <x:v>T-270401</x:v>
      </x:c>
      <x:c r="B449" s="12" t="str">
        <x:v>S27</x:v>
      </x:c>
      <x:c r="C449" s="12" t="str">
        <x:v>ST-2704</x:v>
      </x:c>
      <x:c r="D449" s="12" t="str">
        <x:v>ART_AGENT</x:v>
      </x:c>
      <x:c r="E449" s="12" t="str">
        <x:v>Sửa clipping/prop placement ở các frame lỗi</x:v>
      </x:c>
      <x:c r="F449" s="12" t="str">
        <x:v>NOT_STARTED</x:v>
      </x:c>
      <x:c r="G449" s="12" t="str">
        <x:v>T-260301, T-260302, T-260303, T-260304</x:v>
      </x:c>
      <x:c r="H449" s="12" t="str">
        <x:v>art/export/; scenes/levels/</x:v>
      </x:c>
      <x:c r="I449" s="12" t="str">
        <x:v>ARTIFACT_REVIEW, RENDERED_RUNTIME</x:v>
      </x:c>
      <x:c r="J449" s="12" t="str">
        <x:v>L</x:v>
      </x:c>
      <x:c r="K449" s="12" t="str">
        <x:v>reports/tasks/T-270401/evidence.json</x:v>
      </x:c>
      <x:c r="L449" s="12" t="str">
        <x:v>tasks/T-270401.md</x:v>
      </x:c>
      <x:c r="M449" s="12" t="str">
        <x:v>none</x:v>
      </x:c>
    </x:row>
    <x:row r="450" ht="58" customHeight="1">
      <x:c r="A450" s="12" t="str">
        <x:v>T-270402</x:v>
      </x:c>
      <x:c r="B450" s="12" t="str">
        <x:v>S27</x:v>
      </x:c>
      <x:c r="C450" s="12" t="str">
        <x:v>ST-2704</x:v>
      </x:c>
      <x:c r="D450" s="12" t="str">
        <x:v>ART_AGENT</x:v>
      </x:c>
      <x:c r="E450" s="12" t="str">
        <x:v>Sửa lighting readability ở puzzle/encounter</x:v>
      </x:c>
      <x:c r="F450" s="12" t="str">
        <x:v>NOT_STARTED</x:v>
      </x:c>
      <x:c r="G450" s="12" t="str">
        <x:v>T-260301, T-260302, T-260303, T-260304, T-270401</x:v>
      </x:c>
      <x:c r="H450" s="12" t="str">
        <x:v>art/lighting/</x:v>
      </x:c>
      <x:c r="I450" s="12" t="str">
        <x:v>ARTIFACT_REVIEW, RENDERED_RUNTIME</x:v>
      </x:c>
      <x:c r="J450" s="12" t="str">
        <x:v>L</x:v>
      </x:c>
      <x:c r="K450" s="12" t="str">
        <x:v>reports/tasks/T-270402/evidence.json</x:v>
      </x:c>
      <x:c r="L450" s="12" t="str">
        <x:v>tasks/T-270402.md</x:v>
      </x:c>
      <x:c r="M450" s="12" t="str">
        <x:v>none</x:v>
      </x:c>
    </x:row>
    <x:row r="451" ht="58" customHeight="1">
      <x:c r="A451" s="12" t="str">
        <x:v>T-270403</x:v>
      </x:c>
      <x:c r="B451" s="12" t="str">
        <x:v>S27</x:v>
      </x:c>
      <x:c r="C451" s="12" t="str">
        <x:v>ST-2704</x:v>
      </x:c>
      <x:c r="D451" s="12" t="str">
        <x:v>QA_AGENT</x:v>
      </x:c>
      <x:c r="E451" s="12" t="str">
        <x:v>Ghép art fixes và kiểm tra collision lại</x:v>
      </x:c>
      <x:c r="F451" s="12" t="str">
        <x:v>NOT_STARTED</x:v>
      </x:c>
      <x:c r="G451" s="12" t="str">
        <x:v>T-260301, T-260302, T-260303, T-260304, T-270402</x:v>
      </x:c>
      <x:c r="H451" s="12" t="str">
        <x:v>reports/S27/art_regression.md</x:v>
      </x:c>
      <x:c r="I451" s="12" t="str">
        <x:v>ARTIFACT_REVIEW, ENGINE_TEST, RENDERED_RUNTIME</x:v>
      </x:c>
      <x:c r="J451" s="12" t="str">
        <x:v>L</x:v>
      </x:c>
      <x:c r="K451" s="12" t="str">
        <x:v>reports/tasks/T-270403/evidence.json</x:v>
      </x:c>
      <x:c r="L451" s="12" t="str">
        <x:v>tasks/T-270403.md</x:v>
      </x:c>
      <x:c r="M451" s="12" t="str">
        <x:v>none</x:v>
      </x:c>
    </x:row>
    <x:row r="452" ht="58" customHeight="1">
      <x:c r="A452" s="12" t="str">
        <x:v>T-270404</x:v>
      </x:c>
      <x:c r="B452" s="12" t="str">
        <x:v>S27</x:v>
      </x:c>
      <x:c r="C452" s="12" t="str">
        <x:v>ST-2704</x:v>
      </x:c>
      <x:c r="D452" s="12" t="str">
        <x:v>ORCHESTRATOR</x:v>
      </x:c>
      <x:c r="E452" s="12" t="str">
        <x:v>Đóng Alpha1 và review tải còn lại</x:v>
      </x:c>
      <x:c r="F452" s="12" t="str">
        <x:v>NOT_STARTED</x:v>
      </x:c>
      <x:c r="G452" s="12" t="str">
        <x:v>T-260301, T-260302, T-260303, T-260304, T-270301, T-270302, T-270303, T-270304, T-270403</x:v>
      </x:c>
      <x:c r="H452" s="12" t="str">
        <x:v>build_manifest/alpha1.json; reports/S27/review.md</x:v>
      </x:c>
      <x:c r="I452" s="12" t="str">
        <x:v>ARTIFACT_REVIEW</x:v>
      </x:c>
      <x:c r="J452" s="12" t="str">
        <x:v>S</x:v>
      </x:c>
      <x:c r="K452" s="12" t="str">
        <x:v>reports/tasks/T-270404/evidence.json</x:v>
      </x:c>
      <x:c r="L452" s="12" t="str">
        <x:v>tasks/T-270404.md</x:v>
      </x:c>
      <x:c r="M452" s="12" t="str">
        <x:v>none</x:v>
      </x:c>
    </x:row>
    <x:row r="453" ht="58" customHeight="1">
      <x:c r="A453" s="12" t="str">
        <x:v>T-280101</x:v>
      </x:c>
      <x:c r="B453" s="12" t="str">
        <x:v>S28</x:v>
      </x:c>
      <x:c r="C453" s="12" t="str">
        <x:v>ST-2801</x:v>
      </x:c>
      <x:c r="D453" s="12" t="str">
        <x:v>GAMEPLAY_AGENT</x:v>
      </x:c>
      <x:c r="E453" s="12" t="str">
        <x:v>Phân tích dwell time/hint use của 28 puzzle</x:v>
      </x:c>
      <x:c r="F453" s="12" t="str">
        <x:v>NOT_STARTED</x:v>
      </x:c>
      <x:c r="G453" s="12" t="str">
        <x:v>T-270401, T-270402, T-270403, T-270404</x:v>
      </x:c>
      <x:c r="H453" s="12" t="str">
        <x:v>reports/S28/puzzle_analysis.csv</x:v>
      </x:c>
      <x:c r="I453" s="12" t="str">
        <x:v>ARTIFACT_REVIEW, ENGINE_TEST</x:v>
      </x:c>
      <x:c r="J453" s="12" t="str">
        <x:v>M</x:v>
      </x:c>
      <x:c r="K453" s="12" t="str">
        <x:v>reports/tasks/T-280101/evidence.json</x:v>
      </x:c>
      <x:c r="L453" s="12" t="str">
        <x:v>tasks/T-280101.md</x:v>
      </x:c>
      <x:c r="M453" s="12" t="str">
        <x:v>none</x:v>
      </x:c>
    </x:row>
    <x:row r="454" ht="58" customHeight="1">
      <x:c r="A454" s="12" t="str">
        <x:v>T-280102</x:v>
      </x:c>
      <x:c r="B454" s="12" t="str">
        <x:v>S28</x:v>
      </x:c>
      <x:c r="C454" s="12" t="str">
        <x:v>ST-2801</x:v>
      </x:c>
      <x:c r="D454" s="12" t="str">
        <x:v>GAMEPLAY_AGENT</x:v>
      </x:c>
      <x:c r="E454" s="12" t="str">
        <x:v>Sửa ambiguity trong P05/P11/P17/P22 hoặc issue thực tế</x:v>
      </x:c>
      <x:c r="F454" s="12" t="str">
        <x:v>NOT_STARTED</x:v>
      </x:c>
      <x:c r="G454" s="12" t="str">
        <x:v>T-270401, T-270402, T-270403, T-270404, T-280101</x:v>
      </x:c>
      <x:c r="H454" s="12" t="str">
        <x:v>data/puzzles/; data/hints/</x:v>
      </x:c>
      <x:c r="I454" s="12" t="str">
        <x:v>ARTIFACT_REVIEW, ENGINE_TEST</x:v>
      </x:c>
      <x:c r="J454" s="12" t="str">
        <x:v>L</x:v>
      </x:c>
      <x:c r="K454" s="12" t="str">
        <x:v>reports/tasks/T-280102/evidence.json</x:v>
      </x:c>
      <x:c r="L454" s="12" t="str">
        <x:v>tasks/T-280102.md</x:v>
      </x:c>
      <x:c r="M454" s="12" t="str">
        <x:v>none</x:v>
      </x:c>
    </x:row>
    <x:row r="455" ht="58" customHeight="1">
      <x:c r="A455" s="12" t="str">
        <x:v>T-280103</x:v>
      </x:c>
      <x:c r="B455" s="12" t="str">
        <x:v>S28</x:v>
      </x:c>
      <x:c r="C455" s="12" t="str">
        <x:v>ST-2801</x:v>
      </x:c>
      <x:c r="D455" s="12" t="str">
        <x:v>GAMEPLAY_AGENT</x:v>
      </x:c>
      <x:c r="E455" s="12" t="str">
        <x:v>Rút bớt backtracking không có thông tin mới</x:v>
      </x:c>
      <x:c r="F455" s="12" t="str">
        <x:v>NOT_STARTED</x:v>
      </x:c>
      <x:c r="G455" s="12" t="str">
        <x:v>T-270401, T-270402, T-270403, T-270404, T-280102</x:v>
      </x:c>
      <x:c r="H455" s="12" t="str">
        <x:v>scenes/levels/; data/hub/</x:v>
      </x:c>
      <x:c r="I455" s="12" t="str">
        <x:v>ARTIFACT_REVIEW, ENGINE_TEST</x:v>
      </x:c>
      <x:c r="J455" s="12" t="str">
        <x:v>M</x:v>
      </x:c>
      <x:c r="K455" s="12" t="str">
        <x:v>reports/tasks/T-280103/evidence.json</x:v>
      </x:c>
      <x:c r="L455" s="12" t="str">
        <x:v>tasks/T-280103.md</x:v>
      </x:c>
      <x:c r="M455" s="12" t="str">
        <x:v>none</x:v>
      </x:c>
    </x:row>
    <x:row r="456" ht="58" customHeight="1">
      <x:c r="A456" s="12" t="str">
        <x:v>T-280104</x:v>
      </x:c>
      <x:c r="B456" s="12" t="str">
        <x:v>S28</x:v>
      </x:c>
      <x:c r="C456" s="12" t="str">
        <x:v>ST-2801</x:v>
      </x:c>
      <x:c r="D456" s="12" t="str">
        <x:v>QA_AGENT</x:v>
      </x:c>
      <x:c r="E456" s="12" t="str">
        <x:v>Test lại những puzzle có tỷ lệ mắc cao</x:v>
      </x:c>
      <x:c r="F456" s="12" t="str">
        <x:v>NOT_STARTED</x:v>
      </x:c>
      <x:c r="G456" s="12" t="str">
        <x:v>T-270401, T-270402, T-270403, T-270404, T-280103</x:v>
      </x:c>
      <x:c r="H456" s="12" t="str">
        <x:v>reports/S28/puzzle_retest.md</x:v>
      </x:c>
      <x:c r="I456" s="12" t="str">
        <x:v>ARTIFACT_REVIEW, ENGINE_TEST, RENDERED_RUNTIME</x:v>
      </x:c>
      <x:c r="J456" s="12" t="str">
        <x:v>S</x:v>
      </x:c>
      <x:c r="K456" s="12" t="str">
        <x:v>reports/tasks/T-280104/evidence.json</x:v>
      </x:c>
      <x:c r="L456" s="12" t="str">
        <x:v>tasks/T-280104.md</x:v>
      </x:c>
      <x:c r="M456" s="12" t="str">
        <x:v>none</x:v>
      </x:c>
    </x:row>
    <x:row r="457" ht="58" customHeight="1">
      <x:c r="A457" s="12" t="str">
        <x:v>T-280201</x:v>
      </x:c>
      <x:c r="B457" s="12" t="str">
        <x:v>S28</x:v>
      </x:c>
      <x:c r="C457" s="12" t="str">
        <x:v>ST-2802</x:v>
      </x:c>
      <x:c r="D457" s="12" t="str">
        <x:v>ORCHESTRATOR</x:v>
      </x:c>
      <x:c r="E457" s="12" t="str">
        <x:v>Review đường cong căng thẳng 7 chương</x:v>
      </x:c>
      <x:c r="F457" s="12" t="str">
        <x:v>NOT_STARTED</x:v>
      </x:c>
      <x:c r="G457" s="12" t="str">
        <x:v>T-280101, T-280102, T-280103, T-280104</x:v>
      </x:c>
      <x:c r="H457" s="12" t="str">
        <x:v>docs/pacing_review.md</x:v>
      </x:c>
      <x:c r="I457" s="12" t="str">
        <x:v>ARTIFACT_REVIEW</x:v>
      </x:c>
      <x:c r="J457" s="12" t="str">
        <x:v>M</x:v>
      </x:c>
      <x:c r="K457" s="12" t="str">
        <x:v>reports/tasks/T-280201/evidence.json</x:v>
      </x:c>
      <x:c r="L457" s="12" t="str">
        <x:v>tasks/T-280201.md</x:v>
      </x:c>
      <x:c r="M457" s="12" t="str">
        <x:v>none</x:v>
      </x:c>
    </x:row>
    <x:row r="458" ht="58" customHeight="1">
      <x:c r="A458" s="12" t="str">
        <x:v>T-280202</x:v>
      </x:c>
      <x:c r="B458" s="12" t="str">
        <x:v>S28</x:v>
      </x:c>
      <x:c r="C458" s="12" t="str">
        <x:v>ST-2802</x:v>
      </x:c>
      <x:c r="D458" s="12" t="str">
        <x:v>GAMEPLAY_AGENT</x:v>
      </x:c>
      <x:c r="E458" s="12" t="str">
        <x:v>Tuning detection, chase duration và retry points</x:v>
      </x:c>
      <x:c r="F458" s="12" t="str">
        <x:v>NOT_STARTED</x:v>
      </x:c>
      <x:c r="G458" s="12" t="str">
        <x:v>T-280101, T-280102, T-280103, T-280104, T-280201</x:v>
      </x:c>
      <x:c r="H458" s="12" t="str">
        <x:v>data/encounters/</x:v>
      </x:c>
      <x:c r="I458" s="12" t="str">
        <x:v>ARTIFACT_REVIEW, ENGINE_TEST</x:v>
      </x:c>
      <x:c r="J458" s="12" t="str">
        <x:v>L</x:v>
      </x:c>
      <x:c r="K458" s="12" t="str">
        <x:v>reports/tasks/T-280202/evidence.json</x:v>
      </x:c>
      <x:c r="L458" s="12" t="str">
        <x:v>tasks/T-280202.md</x:v>
      </x:c>
      <x:c r="M458" s="12" t="str">
        <x:v>none</x:v>
      </x:c>
    </x:row>
    <x:row r="459" ht="58" customHeight="1">
      <x:c r="A459" s="12" t="str">
        <x:v>T-280203</x:v>
      </x:c>
      <x:c r="B459" s="12" t="str">
        <x:v>S28</x:v>
      </x:c>
      <x:c r="C459" s="12" t="str">
        <x:v>ST-2802</x:v>
      </x:c>
      <x:c r="D459" s="12" t="str">
        <x:v>NARRATIVE_AGENT</x:v>
      </x:c>
      <x:c r="E459" s="12" t="str">
        <x:v>Rút/điều chỉnh hội thoại và sequence thừa</x:v>
      </x:c>
      <x:c r="F459" s="12" t="str">
        <x:v>NOT_STARTED</x:v>
      </x:c>
      <x:c r="G459" s="12" t="str">
        <x:v>T-280101, T-280102, T-280103, T-280104, T-280202</x:v>
      </x:c>
      <x:c r="H459" s="12" t="str">
        <x:v>data/dialogue/; data/sequences/</x:v>
      </x:c>
      <x:c r="I459" s="12" t="str">
        <x:v>ARTIFACT_REVIEW</x:v>
      </x:c>
      <x:c r="J459" s="12" t="str">
        <x:v>M</x:v>
      </x:c>
      <x:c r="K459" s="12" t="str">
        <x:v>reports/tasks/T-280203/evidence.json</x:v>
      </x:c>
      <x:c r="L459" s="12" t="str">
        <x:v>tasks/T-280203.md</x:v>
      </x:c>
      <x:c r="M459" s="12" t="str">
        <x:v>none</x:v>
      </x:c>
    </x:row>
    <x:row r="460" ht="58" customHeight="1">
      <x:c r="A460" s="12" t="str">
        <x:v>T-280204</x:v>
      </x:c>
      <x:c r="B460" s="12" t="str">
        <x:v>S28</x:v>
      </x:c>
      <x:c r="C460" s="12" t="str">
        <x:v>ST-2802</x:v>
      </x:c>
      <x:c r="D460" s="12" t="str">
        <x:v>QA_AGENT</x:v>
      </x:c>
      <x:c r="E460" s="12" t="str">
        <x:v>Test skip toàn bộ rồi đọc journal</x:v>
      </x:c>
      <x:c r="F460" s="12" t="str">
        <x:v>NOT_STARTED</x:v>
      </x:c>
      <x:c r="G460" s="12" t="str">
        <x:v>T-280101, T-280102, T-280103, T-280104, T-280203</x:v>
      </x:c>
      <x:c r="H460" s="12" t="str">
        <x:v>reports/S28/pacing_access.md</x:v>
      </x:c>
      <x:c r="I460" s="12" t="str">
        <x:v>ARTIFACT_REVIEW, ENGINE_TEST, RENDERED_RUNTIME</x:v>
      </x:c>
      <x:c r="J460" s="12" t="str">
        <x:v>S</x:v>
      </x:c>
      <x:c r="K460" s="12" t="str">
        <x:v>reports/tasks/T-280204/evidence.json</x:v>
      </x:c>
      <x:c r="L460" s="12" t="str">
        <x:v>tasks/T-280204.md</x:v>
      </x:c>
      <x:c r="M460" s="12" t="str">
        <x:v>none</x:v>
      </x:c>
    </x:row>
    <x:row r="461" ht="58" customHeight="1">
      <x:c r="A461" s="12" t="str">
        <x:v>T-280301</x:v>
      </x:c>
      <x:c r="B461" s="12" t="str">
        <x:v>S28</x:v>
      </x:c>
      <x:c r="C461" s="12" t="str">
        <x:v>ST-2803</x:v>
      </x:c>
      <x:c r="D461" s="12" t="str">
        <x:v>QA_AGENT</x:v>
      </x:c>
      <x:c r="E461" s="12" t="str">
        <x:v>Chạy cohort sessions theo chapter checkpoints</x:v>
      </x:c>
      <x:c r="F461" s="12" t="str">
        <x:v>NOT_STARTED</x:v>
      </x:c>
      <x:c r="G461" s="12" t="str">
        <x:v>T-280201, T-280202, T-280203, T-280204</x:v>
      </x:c>
      <x:c r="H461" s="12" t="str">
        <x:v>reports/S28/cohort_raw.csv</x:v>
      </x:c>
      <x:c r="I461" s="12" t="str">
        <x:v>ARTIFACT_REVIEW, ENGINE_TEST, RENDERED_RUNTIME</x:v>
      </x:c>
      <x:c r="J461" s="12" t="str">
        <x:v>L</x:v>
      </x:c>
      <x:c r="K461" s="12" t="str">
        <x:v>reports/tasks/T-280301/evidence.json</x:v>
      </x:c>
      <x:c r="L461" s="12" t="str">
        <x:v>tasks/T-280301.md</x:v>
      </x:c>
      <x:c r="M461" s="12" t="str">
        <x:v>none</x:v>
      </x:c>
    </x:row>
    <x:row r="462" ht="58" customHeight="1">
      <x:c r="A462" s="12" t="str">
        <x:v>T-280302</x:v>
      </x:c>
      <x:c r="B462" s="12" t="str">
        <x:v>S28</x:v>
      </x:c>
      <x:c r="C462" s="12" t="str">
        <x:v>ST-2803</x:v>
      </x:c>
      <x:c r="D462" s="12" t="str">
        <x:v>QA_AGENT</x:v>
      </x:c>
      <x:c r="E462" s="12" t="str">
        <x:v>Rà continuity và understanding sau ending</x:v>
      </x:c>
      <x:c r="F462" s="12" t="str">
        <x:v>NOT_STARTED</x:v>
      </x:c>
      <x:c r="G462" s="12" t="str">
        <x:v>T-280201, T-280202, T-280203, T-280204, T-280301</x:v>
      </x:c>
      <x:c r="H462" s="12" t="str">
        <x:v>reports/S28/story_comprehension.md</x:v>
      </x:c>
      <x:c r="I462" s="12" t="str">
        <x:v>ARTIFACT_REVIEW, ENGINE_TEST, RENDERED_RUNTIME</x:v>
      </x:c>
      <x:c r="J462" s="12" t="str">
        <x:v>L</x:v>
      </x:c>
      <x:c r="K462" s="12" t="str">
        <x:v>reports/tasks/T-280302/evidence.json</x:v>
      </x:c>
      <x:c r="L462" s="12" t="str">
        <x:v>tasks/T-280302.md</x:v>
      </x:c>
      <x:c r="M462" s="12" t="str">
        <x:v>none</x:v>
      </x:c>
    </x:row>
    <x:row r="463" ht="58" customHeight="1">
      <x:c r="A463" s="12" t="str">
        <x:v>T-280303</x:v>
      </x:c>
      <x:c r="B463" s="12" t="str">
        <x:v>S28</x:v>
      </x:c>
      <x:c r="C463" s="12" t="str">
        <x:v>ST-2803</x:v>
      </x:c>
      <x:c r="D463" s="12" t="str">
        <x:v>NARRATIVE_AGENT</x:v>
      </x:c>
      <x:c r="E463" s="12" t="str">
        <x:v>Chốt sửa narrative blocker cuối</x:v>
      </x:c>
      <x:c r="F463" s="12" t="str">
        <x:v>NOT_STARTED</x:v>
      </x:c>
      <x:c r="G463" s="12" t="str">
        <x:v>T-280201, T-280202, T-280203, T-280204, T-280302</x:v>
      </x:c>
      <x:c r="H463" s="12" t="str">
        <x:v>data/dialogue/; docs/story/canon_timeline.md</x:v>
      </x:c>
      <x:c r="I463" s="12" t="str">
        <x:v>ARTIFACT_REVIEW</x:v>
      </x:c>
      <x:c r="J463" s="12" t="str">
        <x:v>M</x:v>
      </x:c>
      <x:c r="K463" s="12" t="str">
        <x:v>reports/tasks/T-280303/evidence.json</x:v>
      </x:c>
      <x:c r="L463" s="12" t="str">
        <x:v>tasks/T-280303.md</x:v>
      </x:c>
      <x:c r="M463" s="12" t="str">
        <x:v>none</x:v>
      </x:c>
    </x:row>
    <x:row r="464" ht="58" customHeight="1">
      <x:c r="A464" s="12" t="str">
        <x:v>T-280304</x:v>
      </x:c>
      <x:c r="B464" s="12" t="str">
        <x:v>S28</x:v>
      </x:c>
      <x:c r="C464" s="12" t="str">
        <x:v>ST-2803</x:v>
      </x:c>
      <x:c r="D464" s="12" t="str">
        <x:v>GAMEPLAY_AGENT</x:v>
      </x:c>
      <x:c r="E464" s="12" t="str">
        <x:v>Freeze text và tạo localization handoff</x:v>
      </x:c>
      <x:c r="F464" s="12" t="str">
        <x:v>NOT_STARTED</x:v>
      </x:c>
      <x:c r="G464" s="12" t="str">
        <x:v>T-280201, T-280202, T-280203, T-280204, T-280303</x:v>
      </x:c>
      <x:c r="H464" s="12" t="str">
        <x:v>localization/source_snapshot/; docs/loc_glossary.md</x:v>
      </x:c>
      <x:c r="I464" s="12" t="str">
        <x:v>ARTIFACT_REVIEW, ENGINE_TEST</x:v>
      </x:c>
      <x:c r="J464" s="12" t="str">
        <x:v>M</x:v>
      </x:c>
      <x:c r="K464" s="12" t="str">
        <x:v>reports/tasks/T-280304/evidence.json</x:v>
      </x:c>
      <x:c r="L464" s="12" t="str">
        <x:v>tasks/T-280304.md</x:v>
      </x:c>
      <x:c r="M464" s="12" t="str">
        <x:v>none</x:v>
      </x:c>
    </x:row>
    <x:row r="465" ht="58" customHeight="1">
      <x:c r="A465" s="12" t="str">
        <x:v>T-280401</x:v>
      </x:c>
      <x:c r="B465" s="12" t="str">
        <x:v>S28</x:v>
      </x:c>
      <x:c r="C465" s="12" t="str">
        <x:v>ST-2804</x:v>
      </x:c>
      <x:c r="D465" s="12" t="str">
        <x:v>AUDIO_AGENT</x:v>
      </x:c>
      <x:c r="E465" s="12" t="str">
        <x:v>Chỉnh sound tension và ending transitions</x:v>
      </x:c>
      <x:c r="F465" s="12" t="str">
        <x:v>NOT_STARTED</x:v>
      </x:c>
      <x:c r="G465" s="12" t="str">
        <x:v>T-280301, T-280302, T-280303, T-280304</x:v>
      </x:c>
      <x:c r="H465" s="12" t="str">
        <x:v>audio/cue_sheets/; audio/music/</x:v>
      </x:c>
      <x:c r="I465" s="12" t="str">
        <x:v>ARTIFACT_REVIEW, AUDIO_REVIEW</x:v>
      </x:c>
      <x:c r="J465" s="12" t="str">
        <x:v>L</x:v>
      </x:c>
      <x:c r="K465" s="12" t="str">
        <x:v>reports/tasks/T-280401/evidence.json</x:v>
      </x:c>
      <x:c r="L465" s="12" t="str">
        <x:v>tasks/T-280401.md</x:v>
      </x:c>
      <x:c r="M465" s="12" t="str">
        <x:v>none</x:v>
      </x:c>
    </x:row>
    <x:row r="466" ht="58" customHeight="1">
      <x:c r="A466" s="12" t="str">
        <x:v>T-280402</x:v>
      </x:c>
      <x:c r="B466" s="12" t="str">
        <x:v>S28</x:v>
      </x:c>
      <x:c r="C466" s="12" t="str">
        <x:v>ST-2804</x:v>
      </x:c>
      <x:c r="D466" s="12" t="str">
        <x:v>ART_AGENT</x:v>
      </x:c>
      <x:c r="E466" s="12" t="str">
        <x:v>Sửa readability frames còn lỗi sau cohort</x:v>
      </x:c>
      <x:c r="F466" s="12" t="str">
        <x:v>NOT_STARTED</x:v>
      </x:c>
      <x:c r="G466" s="12" t="str">
        <x:v>T-280301, T-280302, T-280303, T-280304, T-280401</x:v>
      </x:c>
      <x:c r="H466" s="12" t="str">
        <x:v>art/lighting/; art/ui/</x:v>
      </x:c>
      <x:c r="I466" s="12" t="str">
        <x:v>ARTIFACT_REVIEW, RENDERED_RUNTIME</x:v>
      </x:c>
      <x:c r="J466" s="12" t="str">
        <x:v>L</x:v>
      </x:c>
      <x:c r="K466" s="12" t="str">
        <x:v>reports/tasks/T-280402/evidence.json</x:v>
      </x:c>
      <x:c r="L466" s="12" t="str">
        <x:v>tasks/T-280402.md</x:v>
      </x:c>
      <x:c r="M466" s="12" t="str">
        <x:v>none</x:v>
      </x:c>
    </x:row>
    <x:row r="467" ht="58" customHeight="1">
      <x:c r="A467" s="12" t="str">
        <x:v>T-280403</x:v>
      </x:c>
      <x:c r="B467" s="12" t="str">
        <x:v>S28</x:v>
      </x:c>
      <x:c r="C467" s="12" t="str">
        <x:v>ST-2804</x:v>
      </x:c>
      <x:c r="D467" s="12" t="str">
        <x:v>QA_AGENT</x:v>
      </x:c>
      <x:c r="E467" s="12" t="str">
        <x:v>Chạy Alpha exit regression và archive text</x:v>
      </x:c>
      <x:c r="F467" s="12" t="str">
        <x:v>NOT_STARTED</x:v>
      </x:c>
      <x:c r="G467" s="12" t="str">
        <x:v>T-280301, T-280302, T-280303, T-280304, T-280402</x:v>
      </x:c>
      <x:c r="H467" s="12" t="str">
        <x:v>reports/S28/alpha_exit.csv</x:v>
      </x:c>
      <x:c r="I467" s="12" t="str">
        <x:v>ARTIFACT_REVIEW, ENGINE_TEST, RENDERED_RUNTIME</x:v>
      </x:c>
      <x:c r="J467" s="12" t="str">
        <x:v>L</x:v>
      </x:c>
      <x:c r="K467" s="12" t="str">
        <x:v>reports/tasks/T-280403/evidence.json</x:v>
      </x:c>
      <x:c r="L467" s="12" t="str">
        <x:v>tasks/T-280403.md</x:v>
      </x:c>
      <x:c r="M467" s="12" t="str">
        <x:v>none</x:v>
      </x:c>
    </x:row>
    <x:row r="468" ht="58" customHeight="1">
      <x:c r="A468" s="12" t="str">
        <x:v>T-280404</x:v>
      </x:c>
      <x:c r="B468" s="12" t="str">
        <x:v>S28</x:v>
      </x:c>
      <x:c r="C468" s="12" t="str">
        <x:v>ST-2804</x:v>
      </x:c>
      <x:c r="D468" s="12" t="str">
        <x:v>ORCHESTRATOR</x:v>
      </x:c>
      <x:c r="E468" s="12" t="str">
        <x:v>Chốt G5 và pipeline localization của agent</x:v>
      </x:c>
      <x:c r="F468" s="12" t="str">
        <x:v>NOT_STARTED</x:v>
      </x:c>
      <x:c r="G468" s="12" t="str">
        <x:v>T-280301, T-280302, T-280303, T-280304, T-280403</x:v>
      </x:c>
      <x:c r="H468" s="12" t="str">
        <x:v>reports/S28/gate_G5.md</x:v>
      </x:c>
      <x:c r="I468" s="12" t="str">
        <x:v>ARTIFACT_REVIEW</x:v>
      </x:c>
      <x:c r="J468" s="12" t="str">
        <x:v>S</x:v>
      </x:c>
      <x:c r="K468" s="12" t="str">
        <x:v>reports/tasks/T-280404/evidence.json</x:v>
      </x:c>
      <x:c r="L468" s="12" t="str">
        <x:v>tasks/T-280404.md</x:v>
      </x:c>
      <x:c r="M468" s="12" t="str">
        <x:v>none</x:v>
      </x:c>
    </x:row>
    <x:row r="469" ht="58" customHeight="1">
      <x:c r="A469" s="12" t="str">
        <x:v>T-290101</x:v>
      </x:c>
      <x:c r="B469" s="12" t="str">
        <x:v>S29</x:v>
      </x:c>
      <x:c r="C469" s="12" t="str">
        <x:v>ST-2901</x:v>
      </x:c>
      <x:c r="D469" s="12" t="str">
        <x:v>LOCALIZATION_AGENT</x:v>
      </x:c>
      <x:c r="E469" s="12" t="str">
        <x:v>Chốt glossary, style và English character voices</x:v>
      </x:c>
      <x:c r="F469" s="12" t="str">
        <x:v>NOT_STARTED</x:v>
      </x:c>
      <x:c r="G469" s="12" t="str">
        <x:v>T-280401, T-280402, T-280403, T-280404</x:v>
      </x:c>
      <x:c r="H469" s="12" t="str">
        <x:v>localization/en/glossary.md</x:v>
      </x:c>
      <x:c r="I469" s="12" t="str">
        <x:v>ARTIFACT_REVIEW, RENDERED_RUNTIME</x:v>
      </x:c>
      <x:c r="J469" s="12" t="str">
        <x:v>L</x:v>
      </x:c>
      <x:c r="K469" s="12" t="str">
        <x:v>reports/tasks/T-290101/evidence.json</x:v>
      </x:c>
      <x:c r="L469" s="12" t="str">
        <x:v>tasks/T-290101.md</x:v>
      </x:c>
      <x:c r="M469" s="12" t="str">
        <x:v>none</x:v>
      </x:c>
    </x:row>
    <x:row r="470" ht="58" customHeight="1">
      <x:c r="A470" s="12" t="str">
        <x:v>T-290102</x:v>
      </x:c>
      <x:c r="B470" s="12" t="str">
        <x:v>S29</x:v>
      </x:c>
      <x:c r="C470" s="12" t="str">
        <x:v>ST-2901</x:v>
      </x:c>
      <x:c r="D470" s="12" t="str">
        <x:v>LOCALIZATION_AGENT</x:v>
      </x:c>
      <x:c r="E470" s="12" t="str">
        <x:v>Dịch UI, hướng dẫn và CH1–CH2</x:v>
      </x:c>
      <x:c r="F470" s="12" t="str">
        <x:v>NOT_STARTED</x:v>
      </x:c>
      <x:c r="G470" s="12" t="str">
        <x:v>T-280401, T-280402, T-280403, T-280404, T-290101</x:v>
      </x:c>
      <x:c r="H470" s="12" t="str">
        <x:v>localization/en/part1.csv</x:v>
      </x:c>
      <x:c r="I470" s="12" t="str">
        <x:v>ARTIFACT_REVIEW, RENDERED_RUNTIME</x:v>
      </x:c>
      <x:c r="J470" s="12" t="str">
        <x:v>L</x:v>
      </x:c>
      <x:c r="K470" s="12" t="str">
        <x:v>reports/tasks/T-290102/evidence.json</x:v>
      </x:c>
      <x:c r="L470" s="12" t="str">
        <x:v>tasks/T-290102.md</x:v>
      </x:c>
      <x:c r="M470" s="12" t="str">
        <x:v>none</x:v>
      </x:c>
    </x:row>
    <x:row r="471" ht="58" customHeight="1">
      <x:c r="A471" s="12" t="str">
        <x:v>T-290103</x:v>
      </x:c>
      <x:c r="B471" s="12" t="str">
        <x:v>S29</x:v>
      </x:c>
      <x:c r="C471" s="12" t="str">
        <x:v>ST-2901</x:v>
      </x:c>
      <x:c r="D471" s="12" t="str">
        <x:v>LOCALIZATION_AGENT</x:v>
      </x:c>
      <x:c r="E471" s="12" t="str">
        <x:v>Dịch CH3–CH4 và captions liên quan</x:v>
      </x:c>
      <x:c r="F471" s="12" t="str">
        <x:v>NOT_STARTED</x:v>
      </x:c>
      <x:c r="G471" s="12" t="str">
        <x:v>T-280401, T-280402, T-280403, T-280404, T-290102</x:v>
      </x:c>
      <x:c r="H471" s="12" t="str">
        <x:v>localization/en/part2.csv</x:v>
      </x:c>
      <x:c r="I471" s="12" t="str">
        <x:v>ARTIFACT_REVIEW, RENDERED_RUNTIME</x:v>
      </x:c>
      <x:c r="J471" s="12" t="str">
        <x:v>L</x:v>
      </x:c>
      <x:c r="K471" s="12" t="str">
        <x:v>reports/tasks/T-290103/evidence.json</x:v>
      </x:c>
      <x:c r="L471" s="12" t="str">
        <x:v>tasks/T-290103.md</x:v>
      </x:c>
      <x:c r="M471" s="12" t="str">
        <x:v>none</x:v>
      </x:c>
    </x:row>
    <x:row r="472" ht="58" customHeight="1">
      <x:c r="A472" s="12" t="str">
        <x:v>T-290104</x:v>
      </x:c>
      <x:c r="B472" s="12" t="str">
        <x:v>S29</x:v>
      </x:c>
      <x:c r="C472" s="12" t="str">
        <x:v>ST-2901</x:v>
      </x:c>
      <x:c r="D472" s="12" t="str">
        <x:v>LOCALIZATION_AGENT</x:v>
      </x:c>
      <x:c r="E472" s="12" t="str">
        <x:v>Review bản dịch đợt một với screenshot/context</x:v>
      </x:c>
      <x:c r="F472" s="12" t="str">
        <x:v>NOT_STARTED</x:v>
      </x:c>
      <x:c r="G472" s="12" t="str">
        <x:v>T-280401, T-280402, T-280403, T-280404, T-290103</x:v>
      </x:c>
      <x:c r="H472" s="12" t="str">
        <x:v>reports/S29/translation_review.md</x:v>
      </x:c>
      <x:c r="I472" s="12" t="str">
        <x:v>ARTIFACT_REVIEW, RENDERED_RUNTIME</x:v>
      </x:c>
      <x:c r="J472" s="12" t="str">
        <x:v>L</x:v>
      </x:c>
      <x:c r="K472" s="12" t="str">
        <x:v>reports/tasks/T-290104/evidence.json</x:v>
      </x:c>
      <x:c r="L472" s="12" t="str">
        <x:v>tasks/T-290104.md</x:v>
      </x:c>
      <x:c r="M472" s="12" t="str">
        <x:v>none</x:v>
      </x:c>
    </x:row>
    <x:row r="473" ht="58" customHeight="1">
      <x:c r="A473" s="12" t="str">
        <x:v>T-290201</x:v>
      </x:c>
      <x:c r="B473" s="12" t="str">
        <x:v>S29</x:v>
      </x:c>
      <x:c r="C473" s="12" t="str">
        <x:v>ST-2902</x:v>
      </x:c>
      <x:c r="D473" s="12" t="str">
        <x:v>GAMEPLAY_AGENT</x:v>
      </x:c>
      <x:c r="E473" s="12" t="str">
        <x:v>Import EN resources và language selector</x:v>
      </x:c>
      <x:c r="F473" s="12" t="str">
        <x:v>NOT_STARTED</x:v>
      </x:c>
      <x:c r="G473" s="12" t="str">
        <x:v>T-280401, T-280402, T-280403, T-280404</x:v>
      </x:c>
      <x:c r="H473" s="12" t="str">
        <x:v>localization/; scenes/ui/language_settings.tscn</x:v>
      </x:c>
      <x:c r="I473" s="12" t="str">
        <x:v>ARTIFACT_REVIEW, ENGINE_TEST</x:v>
      </x:c>
      <x:c r="J473" s="12" t="str">
        <x:v>M</x:v>
      </x:c>
      <x:c r="K473" s="12" t="str">
        <x:v>reports/tasks/T-290201/evidence.json</x:v>
      </x:c>
      <x:c r="L473" s="12" t="str">
        <x:v>tasks/T-290201.md</x:v>
      </x:c>
      <x:c r="M473" s="12" t="str">
        <x:v>none</x:v>
      </x:c>
    </x:row>
    <x:row r="474" ht="58" customHeight="1">
      <x:c r="A474" s="12" t="str">
        <x:v>T-290202</x:v>
      </x:c>
      <x:c r="B474" s="12" t="str">
        <x:v>S29</x:v>
      </x:c>
      <x:c r="C474" s="12" t="str">
        <x:v>ST-2902</x:v>
      </x:c>
      <x:c r="D474" s="12" t="str">
        <x:v>GAMEPLAY_AGENT</x:v>
      </x:c>
      <x:c r="E474" s="12" t="str">
        <x:v>Viết linter missing/unused/placeholder keys</x:v>
      </x:c>
      <x:c r="F474" s="12" t="str">
        <x:v>NOT_STARTED</x:v>
      </x:c>
      <x:c r="G474" s="12" t="str">
        <x:v>T-280401, T-280402, T-280403, T-280404, T-290201</x:v>
      </x:c>
      <x:c r="H474" s="12" t="str">
        <x:v>tools/validate_localization.gd</x:v>
      </x:c>
      <x:c r="I474" s="12" t="str">
        <x:v>ARTIFACT_REVIEW, ENGINE_TEST</x:v>
      </x:c>
      <x:c r="J474" s="12" t="str">
        <x:v>L</x:v>
      </x:c>
      <x:c r="K474" s="12" t="str">
        <x:v>reports/tasks/T-290202/evidence.json</x:v>
      </x:c>
      <x:c r="L474" s="12" t="str">
        <x:v>tasks/T-290202.md</x:v>
      </x:c>
      <x:c r="M474" s="12" t="str">
        <x:v>none</x:v>
      </x:c>
    </x:row>
    <x:row r="475" ht="58" customHeight="1">
      <x:c r="A475" s="12" t="str">
        <x:v>T-290203</x:v>
      </x:c>
      <x:c r="B475" s="12" t="str">
        <x:v>S29</x:v>
      </x:c>
      <x:c r="C475" s="12" t="str">
        <x:v>ST-2902</x:v>
      </x:c>
      <x:c r="D475" s="12" t="str">
        <x:v>NARRATIVE_AGENT</x:v>
      </x:c>
      <x:c r="E475" s="12" t="str">
        <x:v>Chạy pseudo-loc và sửa layout tràn</x:v>
      </x:c>
      <x:c r="F475" s="12" t="str">
        <x:v>NOT_STARTED</x:v>
      </x:c>
      <x:c r="G475" s="12" t="str">
        <x:v>T-280401, T-280402, T-280403, T-280404, T-290202</x:v>
      </x:c>
      <x:c r="H475" s="12" t="str">
        <x:v>scenes/ui/; data/dialogue/</x:v>
      </x:c>
      <x:c r="I475" s="12" t="str">
        <x:v>ARTIFACT_REVIEW</x:v>
      </x:c>
      <x:c r="J475" s="12" t="str">
        <x:v>L</x:v>
      </x:c>
      <x:c r="K475" s="12" t="str">
        <x:v>reports/tasks/T-290203/evidence.json</x:v>
      </x:c>
      <x:c r="L475" s="12" t="str">
        <x:v>tasks/T-290203.md</x:v>
      </x:c>
      <x:c r="M475" s="12" t="str">
        <x:v>none</x:v>
      </x:c>
    </x:row>
    <x:row r="476" ht="58" customHeight="1">
      <x:c r="A476" s="12" t="str">
        <x:v>T-290204</x:v>
      </x:c>
      <x:c r="B476" s="12" t="str">
        <x:v>S29</x:v>
      </x:c>
      <x:c r="C476" s="12" t="str">
        <x:v>ST-2902</x:v>
      </x:c>
      <x:c r="D476" s="12" t="str">
        <x:v>NARRATIVE_AGENT</x:v>
      </x:c>
      <x:c r="E476" s="12" t="str">
        <x:v>Test đổi ngôn ngữ tại menu/dialogue/journal</x:v>
      </x:c>
      <x:c r="F476" s="12" t="str">
        <x:v>NOT_STARTED</x:v>
      </x:c>
      <x:c r="G476" s="12" t="str">
        <x:v>T-280401, T-280402, T-280403, T-280404, T-290203</x:v>
      </x:c>
      <x:c r="H476" s="12" t="str">
        <x:v>reports/S29/language_switch.md</x:v>
      </x:c>
      <x:c r="I476" s="12" t="str">
        <x:v>ARTIFACT_REVIEW</x:v>
      </x:c>
      <x:c r="J476" s="12" t="str">
        <x:v>S</x:v>
      </x:c>
      <x:c r="K476" s="12" t="str">
        <x:v>reports/tasks/T-290204/evidence.json</x:v>
      </x:c>
      <x:c r="L476" s="12" t="str">
        <x:v>tasks/T-290204.md</x:v>
      </x:c>
      <x:c r="M476" s="12" t="str">
        <x:v>none</x:v>
      </x:c>
    </x:row>
    <x:row r="477" ht="58" customHeight="1">
      <x:c r="A477" s="12" t="str">
        <x:v>T-290301</x:v>
      </x:c>
      <x:c r="B477" s="12" t="str">
        <x:v>S29</x:v>
      </x:c>
      <x:c r="C477" s="12" t="str">
        <x:v>ST-2903</x:v>
      </x:c>
      <x:c r="D477" s="12" t="str">
        <x:v>ART_AGENT</x:v>
      </x:c>
      <x:c r="E477" s="12" t="str">
        <x:v>Tách chữ quan trọng khỏi texture và thêm inspect plate</x:v>
      </x:c>
      <x:c r="F477" s="12" t="str">
        <x:v>NOT_STARTED</x:v>
      </x:c>
      <x:c r="G477" s="12" t="str">
        <x:v>T-290101, T-290102, T-290103, T-290104, T-290201, T-290202, T-290203, T-290204</x:v>
      </x:c>
      <x:c r="H477" s="12" t="str">
        <x:v>art/props/; data/evidence/</x:v>
      </x:c>
      <x:c r="I477" s="12" t="str">
        <x:v>ARTIFACT_REVIEW, RENDERED_RUNTIME</x:v>
      </x:c>
      <x:c r="J477" s="12" t="str">
        <x:v>L</x:v>
      </x:c>
      <x:c r="K477" s="12" t="str">
        <x:v>reports/tasks/T-290301/evidence.json</x:v>
      </x:c>
      <x:c r="L477" s="12" t="str">
        <x:v>tasks/T-290301.md</x:v>
      </x:c>
      <x:c r="M477" s="12" t="str">
        <x:v>none</x:v>
      </x:c>
    </x:row>
    <x:row r="478" ht="58" customHeight="1">
      <x:c r="A478" s="12" t="str">
        <x:v>T-290302</x:v>
      </x:c>
      <x:c r="B478" s="12" t="str">
        <x:v>S29</x:v>
      </x:c>
      <x:c r="C478" s="12" t="str">
        <x:v>ST-2903</x:v>
      </x:c>
      <x:c r="D478" s="12" t="str">
        <x:v>QA_AGENT</x:v>
      </x:c>
      <x:c r="E478" s="12" t="str">
        <x:v>Test CH1–CH4 bằng EN/VI</x:v>
      </x:c>
      <x:c r="F478" s="12" t="str">
        <x:v>NOT_STARTED</x:v>
      </x:c>
      <x:c r="G478" s="12" t="str">
        <x:v>T-290101, T-290102, T-290103, T-290104, T-290201, T-290202, T-290203, T-290204, T-290301</x:v>
      </x:c>
      <x:c r="H478" s="12" t="str">
        <x:v>reports/S29/lqa_part1.csv</x:v>
      </x:c>
      <x:c r="I478" s="12" t="str">
        <x:v>ARTIFACT_REVIEW, ENGINE_TEST, RENDERED_RUNTIME</x:v>
      </x:c>
      <x:c r="J478" s="12" t="str">
        <x:v>L</x:v>
      </x:c>
      <x:c r="K478" s="12" t="str">
        <x:v>reports/tasks/T-290302/evidence.json</x:v>
      </x:c>
      <x:c r="L478" s="12" t="str">
        <x:v>tasks/T-290302.md</x:v>
      </x:c>
      <x:c r="M478" s="12" t="str">
        <x:v>none</x:v>
      </x:c>
    </x:row>
    <x:row r="479" ht="58" customHeight="1">
      <x:c r="A479" s="12" t="str">
        <x:v>T-290303</x:v>
      </x:c>
      <x:c r="B479" s="12" t="str">
        <x:v>S29</x:v>
      </x:c>
      <x:c r="C479" s="12" t="str">
        <x:v>ST-2903</x:v>
      </x:c>
      <x:c r="D479" s="12" t="str">
        <x:v>GAMEPLAY_AGENT</x:v>
      </x:c>
      <x:c r="E479" s="12" t="str">
        <x:v>Sửa wiring/layout từ LQA đợt một</x:v>
      </x:c>
      <x:c r="F479" s="12" t="str">
        <x:v>NOT_STARTED</x:v>
      </x:c>
      <x:c r="G479" s="12" t="str">
        <x:v>T-290101, T-290102, T-290103, T-290104, T-290201, T-290202, T-290203, T-290204, T-290302</x:v>
      </x:c>
      <x:c r="H479" s="12" t="str">
        <x:v>scenes/ui/; data/evidence/</x:v>
      </x:c>
      <x:c r="I479" s="12" t="str">
        <x:v>ARTIFACT_REVIEW, ENGINE_TEST</x:v>
      </x:c>
      <x:c r="J479" s="12" t="str">
        <x:v>L</x:v>
      </x:c>
      <x:c r="K479" s="12" t="str">
        <x:v>reports/tasks/T-290303/evidence.json</x:v>
      </x:c>
      <x:c r="L479" s="12" t="str">
        <x:v>tasks/T-290303.md</x:v>
      </x:c>
      <x:c r="M479" s="12" t="str">
        <x:v>none</x:v>
      </x:c>
    </x:row>
    <x:row r="480" ht="58" customHeight="1">
      <x:c r="A480" s="12" t="str">
        <x:v>T-290304</x:v>
      </x:c>
      <x:c r="B480" s="12" t="str">
        <x:v>S29</x:v>
      </x:c>
      <x:c r="C480" s="12" t="str">
        <x:v>ST-2903</x:v>
      </x:c>
      <x:c r="D480" s="12" t="str">
        <x:v>ORCHESTRATOR</x:v>
      </x:c>
      <x:c r="E480" s="12" t="str">
        <x:v>Chốt danh sách text changes có kiểm soát</x:v>
      </x:c>
      <x:c r="F480" s="12" t="str">
        <x:v>NOT_STARTED</x:v>
      </x:c>
      <x:c r="G480" s="12" t="str">
        <x:v>T-290101, T-290102, T-290103, T-290104, T-290201, T-290202, T-290203, T-290204, T-290303</x:v>
      </x:c>
      <x:c r="H480" s="12" t="str">
        <x:v>localization/change_log.csv</x:v>
      </x:c>
      <x:c r="I480" s="12" t="str">
        <x:v>ARTIFACT_REVIEW</x:v>
      </x:c>
      <x:c r="J480" s="12" t="str">
        <x:v>S</x:v>
      </x:c>
      <x:c r="K480" s="12" t="str">
        <x:v>reports/tasks/T-290304/evidence.json</x:v>
      </x:c>
      <x:c r="L480" s="12" t="str">
        <x:v>tasks/T-290304.md</x:v>
      </x:c>
      <x:c r="M480" s="12" t="str">
        <x:v>none</x:v>
      </x:c>
    </x:row>
    <x:row r="481" ht="58" customHeight="1">
      <x:c r="A481" s="12" t="str">
        <x:v>T-290401</x:v>
      </x:c>
      <x:c r="B481" s="12" t="str">
        <x:v>S29</x:v>
      </x:c>
      <x:c r="C481" s="12" t="str">
        <x:v>ST-2904</x:v>
      </x:c>
      <x:c r="D481" s="12" t="str">
        <x:v>GAMEPLAY_AGENT</x:v>
      </x:c>
      <x:c r="E481" s="12" t="str">
        <x:v>Tạo beta Windows package và versioned manifest</x:v>
      </x:c>
      <x:c r="F481" s="12" t="str">
        <x:v>NOT_STARTED</x:v>
      </x:c>
      <x:c r="G481" s="12" t="str">
        <x:v>T-290301, T-290302, T-290303, T-290304</x:v>
      </x:c>
      <x:c r="H481" s="12" t="str">
        <x:v>build_manifest/beta1.json</x:v>
      </x:c>
      <x:c r="I481" s="12" t="str">
        <x:v>ARTIFACT_REVIEW, ENGINE_TEST</x:v>
      </x:c>
      <x:c r="J481" s="12" t="str">
        <x:v>L</x:v>
      </x:c>
      <x:c r="K481" s="12" t="str">
        <x:v>reports/tasks/T-290401/evidence.json</x:v>
      </x:c>
      <x:c r="L481" s="12" t="str">
        <x:v>tasks/T-290401.md</x:v>
      </x:c>
      <x:c r="M481" s="12" t="str">
        <x:v>none</x:v>
      </x:c>
    </x:row>
    <x:row r="482" ht="58" customHeight="1">
      <x:c r="A482" s="12" t="str">
        <x:v>T-290402</x:v>
      </x:c>
      <x:c r="B482" s="12" t="str">
        <x:v>S29</x:v>
      </x:c>
      <x:c r="C482" s="12" t="str">
        <x:v>ST-2904</x:v>
      </x:c>
      <x:c r="D482" s="12" t="str">
        <x:v>QA_AGENT</x:v>
      </x:c>
      <x:c r="E482" s="12" t="str">
        <x:v>Test install path có dấu, user profile khác và offline</x:v>
      </x:c>
      <x:c r="F482" s="12" t="str">
        <x:v>NOT_STARTED</x:v>
      </x:c>
      <x:c r="G482" s="12" t="str">
        <x:v>T-290301, T-290302, T-290303, T-290304, T-290401</x:v>
      </x:c>
      <x:c r="H482" s="12" t="str">
        <x:v>reports/S29/install_matrix.md</x:v>
      </x:c>
      <x:c r="I482" s="12" t="str">
        <x:v>ARTIFACT_REVIEW, ENGINE_TEST, RENDERED_RUNTIME</x:v>
      </x:c>
      <x:c r="J482" s="12" t="str">
        <x:v>L</x:v>
      </x:c>
      <x:c r="K482" s="12" t="str">
        <x:v>reports/tasks/T-290402/evidence.json</x:v>
      </x:c>
      <x:c r="L482" s="12" t="str">
        <x:v>tasks/T-290402.md</x:v>
      </x:c>
      <x:c r="M482" s="12" t="str">
        <x:v>none</x:v>
      </x:c>
    </x:row>
    <x:row r="483" ht="58" customHeight="1">
      <x:c r="A483" s="12" t="str">
        <x:v>T-290403</x:v>
      </x:c>
      <x:c r="B483" s="12" t="str">
        <x:v>S29</x:v>
      </x:c>
      <x:c r="C483" s="12" t="str">
        <x:v>ST-2904</x:v>
      </x:c>
      <x:c r="D483" s="12" t="str">
        <x:v>GAMEPLAY_AGENT</x:v>
      </x:c>
      <x:c r="E483" s="12" t="str">
        <x:v>Sửa export/file path/package errors</x:v>
      </x:c>
      <x:c r="F483" s="12" t="str">
        <x:v>NOT_STARTED</x:v>
      </x:c>
      <x:c r="G483" s="12" t="str">
        <x:v>T-290301, T-290302, T-290303, T-290304, T-290402</x:v>
      </x:c>
      <x:c r="H483" s="12" t="str">
        <x:v>export_presets.cfg; scripts/</x:v>
      </x:c>
      <x:c r="I483" s="12" t="str">
        <x:v>ARTIFACT_REVIEW, ENGINE_TEST</x:v>
      </x:c>
      <x:c r="J483" s="12" t="str">
        <x:v>L</x:v>
      </x:c>
      <x:c r="K483" s="12" t="str">
        <x:v>reports/tasks/T-290403/evidence.json</x:v>
      </x:c>
      <x:c r="L483" s="12" t="str">
        <x:v>tasks/T-290403.md</x:v>
      </x:c>
      <x:c r="M483" s="12" t="str">
        <x:v>none</x:v>
      </x:c>
    </x:row>
    <x:row r="484" ht="58" customHeight="1">
      <x:c r="A484" s="12" t="str">
        <x:v>T-290404</x:v>
      </x:c>
      <x:c r="B484" s="12" t="str">
        <x:v>S29</x:v>
      </x:c>
      <x:c r="C484" s="12" t="str">
        <x:v>ST-2904</x:v>
      </x:c>
      <x:c r="D484" s="12" t="str">
        <x:v>ORCHESTRATOR</x:v>
      </x:c>
      <x:c r="E484" s="12" t="str">
        <x:v>Review Beta1 và scope S30</x:v>
      </x:c>
      <x:c r="F484" s="12" t="str">
        <x:v>NOT_STARTED</x:v>
      </x:c>
      <x:c r="G484" s="12" t="str">
        <x:v>T-290301, T-290302, T-290303, T-290304, T-290403</x:v>
      </x:c>
      <x:c r="H484" s="12" t="str">
        <x:v>reports/S29/review.md</x:v>
      </x:c>
      <x:c r="I484" s="12" t="str">
        <x:v>ARTIFACT_REVIEW</x:v>
      </x:c>
      <x:c r="J484" s="12" t="str">
        <x:v>S</x:v>
      </x:c>
      <x:c r="K484" s="12" t="str">
        <x:v>reports/tasks/T-290404/evidence.json</x:v>
      </x:c>
      <x:c r="L484" s="12" t="str">
        <x:v>tasks/T-290404.md</x:v>
      </x:c>
      <x:c r="M484" s="12" t="str">
        <x:v>none</x:v>
      </x:c>
    </x:row>
    <x:row r="485" ht="58" customHeight="1">
      <x:c r="A485" s="12" t="str">
        <x:v>T-300101</x:v>
      </x:c>
      <x:c r="B485" s="12" t="str">
        <x:v>S30</x:v>
      </x:c>
      <x:c r="C485" s="12" t="str">
        <x:v>ST-3001</x:v>
      </x:c>
      <x:c r="D485" s="12" t="str">
        <x:v>LOCALIZATION_AGENT</x:v>
      </x:c>
      <x:c r="E485" s="12" t="str">
        <x:v>Dịch CH5 và nhật ký mẹ</x:v>
      </x:c>
      <x:c r="F485" s="12" t="str">
        <x:v>NOT_STARTED</x:v>
      </x:c>
      <x:c r="G485" s="12" t="str">
        <x:v>T-290101, T-290102, T-290103, T-290104</x:v>
      </x:c>
      <x:c r="H485" s="12" t="str">
        <x:v>localization/en/part3.csv</x:v>
      </x:c>
      <x:c r="I485" s="12" t="str">
        <x:v>ARTIFACT_REVIEW, RENDERED_RUNTIME</x:v>
      </x:c>
      <x:c r="J485" s="12" t="str">
        <x:v>L</x:v>
      </x:c>
      <x:c r="K485" s="12" t="str">
        <x:v>reports/tasks/T-300101/evidence.json</x:v>
      </x:c>
      <x:c r="L485" s="12" t="str">
        <x:v>tasks/T-300101.md</x:v>
      </x:c>
      <x:c r="M485" s="12" t="str">
        <x:v>none</x:v>
      </x:c>
    </x:row>
    <x:row r="486" ht="58" customHeight="1">
      <x:c r="A486" s="12" t="str">
        <x:v>T-300102</x:v>
      </x:c>
      <x:c r="B486" s="12" t="str">
        <x:v>S30</x:v>
      </x:c>
      <x:c r="C486" s="12" t="str">
        <x:v>ST-3001</x:v>
      </x:c>
      <x:c r="D486" s="12" t="str">
        <x:v>LOCALIZATION_AGENT</x:v>
      </x:c>
      <x:c r="E486" s="12" t="str">
        <x:v>Dịch CH6 và đối thoại Minh/An</x:v>
      </x:c>
      <x:c r="F486" s="12" t="str">
        <x:v>NOT_STARTED</x:v>
      </x:c>
      <x:c r="G486" s="12" t="str">
        <x:v>T-290101, T-290102, T-290103, T-290104, T-300101</x:v>
      </x:c>
      <x:c r="H486" s="12" t="str">
        <x:v>localization/en/part4.csv</x:v>
      </x:c>
      <x:c r="I486" s="12" t="str">
        <x:v>ARTIFACT_REVIEW, RENDERED_RUNTIME</x:v>
      </x:c>
      <x:c r="J486" s="12" t="str">
        <x:v>L</x:v>
      </x:c>
      <x:c r="K486" s="12" t="str">
        <x:v>reports/tasks/T-300102/evidence.json</x:v>
      </x:c>
      <x:c r="L486" s="12" t="str">
        <x:v>tasks/T-300102.md</x:v>
      </x:c>
      <x:c r="M486" s="12" t="str">
        <x:v>none</x:v>
      </x:c>
    </x:row>
    <x:row r="487" ht="58" customHeight="1">
      <x:c r="A487" s="12" t="str">
        <x:v>T-300103</x:v>
      </x:c>
      <x:c r="B487" s="12" t="str">
        <x:v>S30</x:v>
      </x:c>
      <x:c r="C487" s="12" t="str">
        <x:v>ST-3001</x:v>
      </x:c>
      <x:c r="D487" s="12" t="str">
        <x:v>LOCALIZATION_AGENT</x:v>
      </x:c>
      <x:c r="E487" s="12" t="str">
        <x:v>Dịch CH7, A/B/C và remaining UI/captions</x:v>
      </x:c>
      <x:c r="F487" s="12" t="str">
        <x:v>NOT_STARTED</x:v>
      </x:c>
      <x:c r="G487" s="12" t="str">
        <x:v>T-290101, T-290102, T-290103, T-290104, T-300102</x:v>
      </x:c>
      <x:c r="H487" s="12" t="str">
        <x:v>localization/en/part5.csv</x:v>
      </x:c>
      <x:c r="I487" s="12" t="str">
        <x:v>ARTIFACT_REVIEW, RENDERED_RUNTIME</x:v>
      </x:c>
      <x:c r="J487" s="12" t="str">
        <x:v>L</x:v>
      </x:c>
      <x:c r="K487" s="12" t="str">
        <x:v>reports/tasks/T-300103/evidence.json</x:v>
      </x:c>
      <x:c r="L487" s="12" t="str">
        <x:v>tasks/T-300103.md</x:v>
      </x:c>
      <x:c r="M487" s="12" t="str">
        <x:v>none</x:v>
      </x:c>
    </x:row>
    <x:row r="488" ht="58" customHeight="1">
      <x:c r="A488" s="12" t="str">
        <x:v>T-300104</x:v>
      </x:c>
      <x:c r="B488" s="12" t="str">
        <x:v>S30</x:v>
      </x:c>
      <x:c r="C488" s="12" t="str">
        <x:v>ST-3001</x:v>
      </x:c>
      <x:c r="D488" s="12" t="str">
        <x:v>LOCALIZATION_AGENT</x:v>
      </x:c>
      <x:c r="E488" s="12" t="str">
        <x:v>Review toàn bộ thuật ngữ và corrections LQA</x:v>
      </x:c>
      <x:c r="F488" s="12" t="str">
        <x:v>NOT_STARTED</x:v>
      </x:c>
      <x:c r="G488" s="12" t="str">
        <x:v>T-290101, T-290102, T-290103, T-290104, T-300103</x:v>
      </x:c>
      <x:c r="H488" s="12" t="str">
        <x:v>reports/S30/translation_final.md</x:v>
      </x:c>
      <x:c r="I488" s="12" t="str">
        <x:v>ARTIFACT_REVIEW, RENDERED_RUNTIME</x:v>
      </x:c>
      <x:c r="J488" s="12" t="str">
        <x:v>L</x:v>
      </x:c>
      <x:c r="K488" s="12" t="str">
        <x:v>reports/tasks/T-300104/evidence.json</x:v>
      </x:c>
      <x:c r="L488" s="12" t="str">
        <x:v>tasks/T-300104.md</x:v>
      </x:c>
      <x:c r="M488" s="12" t="str">
        <x:v>none</x:v>
      </x:c>
    </x:row>
    <x:row r="489" ht="58" customHeight="1">
      <x:c r="A489" s="12" t="str">
        <x:v>T-300201</x:v>
      </x:c>
      <x:c r="B489" s="12" t="str">
        <x:v>S30</x:v>
      </x:c>
      <x:c r="C489" s="12" t="str">
        <x:v>ST-3002</x:v>
      </x:c>
      <x:c r="D489" s="12" t="str">
        <x:v>QA_AGENT</x:v>
      </x:c>
      <x:c r="E489" s="12" t="str">
        <x:v>Chạy EN campaign và secret-route checks</x:v>
      </x:c>
      <x:c r="F489" s="12" t="str">
        <x:v>NOT_STARTED</x:v>
      </x:c>
      <x:c r="G489" s="12" t="str">
        <x:v>T-290401, T-290402, T-290403, T-290404, T-300101, T-300102, T-300103, T-300104</x:v>
      </x:c>
      <x:c r="H489" s="12" t="str">
        <x:v>reports/S30/lqa_campaign.csv</x:v>
      </x:c>
      <x:c r="I489" s="12" t="str">
        <x:v>ARTIFACT_REVIEW, ENGINE_TEST, RENDERED_RUNTIME</x:v>
      </x:c>
      <x:c r="J489" s="12" t="str">
        <x:v>L</x:v>
      </x:c>
      <x:c r="K489" s="12" t="str">
        <x:v>reports/tasks/T-300201/evidence.json</x:v>
      </x:c>
      <x:c r="L489" s="12" t="str">
        <x:v>tasks/T-300201.md</x:v>
      </x:c>
      <x:c r="M489" s="12" t="str">
        <x:v>none</x:v>
      </x:c>
    </x:row>
    <x:row r="490" ht="58" customHeight="1">
      <x:c r="A490" s="12" t="str">
        <x:v>T-300202</x:v>
      </x:c>
      <x:c r="B490" s="12" t="str">
        <x:v>S30</x:v>
      </x:c>
      <x:c r="C490" s="12" t="str">
        <x:v>ST-3002</x:v>
      </x:c>
      <x:c r="D490" s="12" t="str">
        <x:v>QA_AGENT</x:v>
      </x:c>
      <x:c r="E490" s="12" t="str">
        <x:v>Test VI diacritics, large text và ultrawide</x:v>
      </x:c>
      <x:c r="F490" s="12" t="str">
        <x:v>NOT_STARTED</x:v>
      </x:c>
      <x:c r="G490" s="12" t="str">
        <x:v>T-290401, T-290402, T-290403, T-290404, T-300101, T-300102, T-300103, T-300104, T-300201</x:v>
      </x:c>
      <x:c r="H490" s="12" t="str">
        <x:v>reports/S30/lqa_ui_matrix.csv</x:v>
      </x:c>
      <x:c r="I490" s="12" t="str">
        <x:v>ARTIFACT_REVIEW, ENGINE_TEST, RENDERED_RUNTIME</x:v>
      </x:c>
      <x:c r="J490" s="12" t="str">
        <x:v>L</x:v>
      </x:c>
      <x:c r="K490" s="12" t="str">
        <x:v>reports/tasks/T-300202/evidence.json</x:v>
      </x:c>
      <x:c r="L490" s="12" t="str">
        <x:v>tasks/T-300202.md</x:v>
      </x:c>
      <x:c r="M490" s="12" t="str">
        <x:v>none</x:v>
      </x:c>
    </x:row>
    <x:row r="491" ht="58" customHeight="1">
      <x:c r="A491" s="12" t="str">
        <x:v>T-300203</x:v>
      </x:c>
      <x:c r="B491" s="12" t="str">
        <x:v>S30</x:v>
      </x:c>
      <x:c r="C491" s="12" t="str">
        <x:v>ST-3002</x:v>
      </x:c>
      <x:c r="D491" s="12" t="str">
        <x:v>GAMEPLAY_AGENT</x:v>
      </x:c>
      <x:c r="E491" s="12" t="str">
        <x:v>Sửa layout/key/formatting blockers</x:v>
      </x:c>
      <x:c r="F491" s="12" t="str">
        <x:v>NOT_STARTED</x:v>
      </x:c>
      <x:c r="G491" s="12" t="str">
        <x:v>T-290401, T-290402, T-290403, T-290404, T-300101, T-300102, T-300103, T-300104, T-300202</x:v>
      </x:c>
      <x:c r="H491" s="12" t="str">
        <x:v>localization/; scenes/ui/</x:v>
      </x:c>
      <x:c r="I491" s="12" t="str">
        <x:v>ARTIFACT_REVIEW, ENGINE_TEST</x:v>
      </x:c>
      <x:c r="J491" s="12" t="str">
        <x:v>L</x:v>
      </x:c>
      <x:c r="K491" s="12" t="str">
        <x:v>reports/tasks/T-300203/evidence.json</x:v>
      </x:c>
      <x:c r="L491" s="12" t="str">
        <x:v>tasks/T-300203.md</x:v>
      </x:c>
      <x:c r="M491" s="12" t="str">
        <x:v>none</x:v>
      </x:c>
    </x:row>
    <x:row r="492" ht="58" customHeight="1">
      <x:c r="A492" s="12" t="str">
        <x:v>T-300204</x:v>
      </x:c>
      <x:c r="B492" s="12" t="str">
        <x:v>S30</x:v>
      </x:c>
      <x:c r="C492" s="12" t="str">
        <x:v>ST-3002</x:v>
      </x:c>
      <x:c r="D492" s="12" t="str">
        <x:v>QA_AGENT</x:v>
      </x:c>
      <x:c r="E492" s="12" t="str">
        <x:v>Re-export text final và retest delta</x:v>
      </x:c>
      <x:c r="F492" s="12" t="str">
        <x:v>NOT_STARTED</x:v>
      </x:c>
      <x:c r="G492" s="12" t="str">
        <x:v>T-290401, T-290402, T-290403, T-290404, T-300101, T-300102, T-300103, T-300104, T-300203</x:v>
      </x:c>
      <x:c r="H492" s="12" t="str">
        <x:v>reports/S30/lqa_retest.md</x:v>
      </x:c>
      <x:c r="I492" s="12" t="str">
        <x:v>ARTIFACT_REVIEW, ENGINE_TEST, RENDERED_RUNTIME</x:v>
      </x:c>
      <x:c r="J492" s="12" t="str">
        <x:v>M</x:v>
      </x:c>
      <x:c r="K492" s="12" t="str">
        <x:v>reports/tasks/T-300204/evidence.json</x:v>
      </x:c>
      <x:c r="L492" s="12" t="str">
        <x:v>tasks/T-300204.md</x:v>
      </x:c>
      <x:c r="M492" s="12" t="str">
        <x:v>none</x:v>
      </x:c>
    </x:row>
    <x:row r="493" ht="58" customHeight="1">
      <x:c r="A493" s="12" t="str">
        <x:v>T-300301</x:v>
      </x:c>
      <x:c r="B493" s="12" t="str">
        <x:v>S30</x:v>
      </x:c>
      <x:c r="C493" s="12" t="str">
        <x:v>ST-3003</x:v>
      </x:c>
      <x:c r="D493" s="12" t="str">
        <x:v>GAMEPLAY_AGENT</x:v>
      </x:c>
      <x:c r="E493" s="12" t="str">
        <x:v>Chạy action/focus map toàn bộ UI và chapter</x:v>
      </x:c>
      <x:c r="F493" s="12" t="str">
        <x:v>NOT_STARTED</x:v>
      </x:c>
      <x:c r="G493" s="12" t="str">
        <x:v>T-290401, T-290402, T-290403, T-290404</x:v>
      </x:c>
      <x:c r="H493" s="12" t="str">
        <x:v>reports/S30/input_coverage.csv</x:v>
      </x:c>
      <x:c r="I493" s="12" t="str">
        <x:v>ARTIFACT_REVIEW, ENGINE_TEST</x:v>
      </x:c>
      <x:c r="J493" s="12" t="str">
        <x:v>M</x:v>
      </x:c>
      <x:c r="K493" s="12" t="str">
        <x:v>reports/tasks/T-300301/evidence.json</x:v>
      </x:c>
      <x:c r="L493" s="12" t="str">
        <x:v>tasks/T-300301.md</x:v>
      </x:c>
      <x:c r="M493" s="12" t="str">
        <x:v>none</x:v>
      </x:c>
    </x:row>
    <x:row r="494" ht="58" customHeight="1">
      <x:c r="A494" s="12" t="str">
        <x:v>T-300302</x:v>
      </x:c>
      <x:c r="B494" s="12" t="str">
        <x:v>S30</x:v>
      </x:c>
      <x:c r="C494" s="12" t="str">
        <x:v>ST-3003</x:v>
      </x:c>
      <x:c r="D494" s="12" t="str">
        <x:v>GAMEPLAY_AGENT</x:v>
      </x:c>
      <x:c r="E494" s="12" t="str">
        <x:v>Sửa hotplug/focus/remap edge cases</x:v>
      </x:c>
      <x:c r="F494" s="12" t="str">
        <x:v>NOT_STARTED</x:v>
      </x:c>
      <x:c r="G494" s="12" t="str">
        <x:v>T-290401, T-290402, T-290403, T-290404, T-300301</x:v>
      </x:c>
      <x:c r="H494" s="12" t="str">
        <x:v>scripts/input/; scenes/ui/</x:v>
      </x:c>
      <x:c r="I494" s="12" t="str">
        <x:v>ARTIFACT_REVIEW, ENGINE_TEST</x:v>
      </x:c>
      <x:c r="J494" s="12" t="str">
        <x:v>L</x:v>
      </x:c>
      <x:c r="K494" s="12" t="str">
        <x:v>reports/tasks/T-300302/evidence.json</x:v>
      </x:c>
      <x:c r="L494" s="12" t="str">
        <x:v>tasks/T-300302.md</x:v>
      </x:c>
      <x:c r="M494" s="12" t="str">
        <x:v>none</x:v>
      </x:c>
    </x:row>
    <x:row r="495" ht="58" customHeight="1">
      <x:c r="A495" s="12" t="str">
        <x:v>T-300303</x:v>
      </x:c>
      <x:c r="B495" s="12" t="str">
        <x:v>S30</x:v>
      </x:c>
      <x:c r="C495" s="12" t="str">
        <x:v>ST-3003</x:v>
      </x:c>
      <x:c r="D495" s="12" t="str">
        <x:v>QA_AGENT</x:v>
      </x:c>
      <x:c r="E495" s="12" t="str">
        <x:v>Test hold/toggle, reduce motion, captions sau reload</x:v>
      </x:c>
      <x:c r="F495" s="12" t="str">
        <x:v>NOT_STARTED</x:v>
      </x:c>
      <x:c r="G495" s="12" t="str">
        <x:v>T-290401, T-290402, T-290403, T-290404, T-300302</x:v>
      </x:c>
      <x:c r="H495" s="12" t="str">
        <x:v>reports/S30/accessibility_regression.md</x:v>
      </x:c>
      <x:c r="I495" s="12" t="str">
        <x:v>ARTIFACT_REVIEW, ENGINE_TEST, RENDERED_RUNTIME</x:v>
      </x:c>
      <x:c r="J495" s="12" t="str">
        <x:v>L</x:v>
      </x:c>
      <x:c r="K495" s="12" t="str">
        <x:v>reports/tasks/T-300303/evidence.json</x:v>
      </x:c>
      <x:c r="L495" s="12" t="str">
        <x:v>tasks/T-300303.md</x:v>
      </x:c>
      <x:c r="M495" s="12" t="str">
        <x:v>none</x:v>
      </x:c>
    </x:row>
    <x:row r="496" ht="58" customHeight="1">
      <x:c r="A496" s="12" t="str">
        <x:v>T-300304</x:v>
      </x:c>
      <x:c r="B496" s="12" t="str">
        <x:v>S30</x:v>
      </x:c>
      <x:c r="C496" s="12" t="str">
        <x:v>ST-3003</x:v>
      </x:c>
      <x:c r="D496" s="12" t="str">
        <x:v>GAMEPLAY_AGENT</x:v>
      </x:c>
      <x:c r="E496" s="12" t="str">
        <x:v>Khóa danh sách thiết bị/cấu hình hỗ trợ</x:v>
      </x:c>
      <x:c r="F496" s="12" t="str">
        <x:v>NOT_STARTED</x:v>
      </x:c>
      <x:c r="G496" s="12" t="str">
        <x:v>T-290401, T-290402, T-290403, T-290404, T-300303</x:v>
      </x:c>
      <x:c r="H496" s="12" t="str">
        <x:v>docs/supported_input.md</x:v>
      </x:c>
      <x:c r="I496" s="12" t="str">
        <x:v>ARTIFACT_REVIEW, ENGINE_TEST</x:v>
      </x:c>
      <x:c r="J496" s="12" t="str">
        <x:v>S</x:v>
      </x:c>
      <x:c r="K496" s="12" t="str">
        <x:v>reports/tasks/T-300304/evidence.json</x:v>
      </x:c>
      <x:c r="L496" s="12" t="str">
        <x:v>tasks/T-300304.md</x:v>
      </x:c>
      <x:c r="M496" s="12" t="str">
        <x:v>none</x:v>
      </x:c>
    </x:row>
    <x:row r="497" ht="58" customHeight="1">
      <x:c r="A497" s="12" t="str">
        <x:v>T-300401</x:v>
      </x:c>
      <x:c r="B497" s="12" t="str">
        <x:v>S30</x:v>
      </x:c>
      <x:c r="C497" s="12" t="str">
        <x:v>ST-3004</x:v>
      </x:c>
      <x:c r="D497" s="12" t="str">
        <x:v>QA_AGENT</x:v>
      </x:c>
      <x:c r="E497" s="12" t="str">
        <x:v>Đóng các beta blocker còn lại và retest</x:v>
      </x:c>
      <x:c r="F497" s="12" t="str">
        <x:v>NOT_STARTED</x:v>
      </x:c>
      <x:c r="G497" s="12" t="str">
        <x:v>T-300201, T-300202, T-300203, T-300204, T-300301, T-300302, T-300303, T-300304</x:v>
      </x:c>
      <x:c r="H497" s="12" t="str">
        <x:v>reports/S30/beta_blockers.md</x:v>
      </x:c>
      <x:c r="I497" s="12" t="str">
        <x:v>ARTIFACT_REVIEW, ENGINE_TEST, RENDERED_RUNTIME</x:v>
      </x:c>
      <x:c r="J497" s="12" t="str">
        <x:v>L</x:v>
      </x:c>
      <x:c r="K497" s="12" t="str">
        <x:v>reports/tasks/T-300401/evidence.json</x:v>
      </x:c>
      <x:c r="L497" s="12" t="str">
        <x:v>tasks/T-300401.md</x:v>
      </x:c>
      <x:c r="M497" s="12" t="str">
        <x:v>none</x:v>
      </x:c>
    </x:row>
    <x:row r="498" ht="58" customHeight="1">
      <x:c r="A498" s="12" t="str">
        <x:v>T-300402</x:v>
      </x:c>
      <x:c r="B498" s="12" t="str">
        <x:v>S30</x:v>
      </x:c>
      <x:c r="C498" s="12" t="str">
        <x:v>ST-3004</x:v>
      </x:c>
      <x:c r="D498" s="12" t="str">
        <x:v>ORCHESTRATOR</x:v>
      </x:c>
      <x:c r="E498" s="12" t="str">
        <x:v>Audit DoD với traceability R01–R18</x:v>
      </x:c>
      <x:c r="F498" s="12" t="str">
        <x:v>NOT_STARTED</x:v>
      </x:c>
      <x:c r="G498" s="12" t="str">
        <x:v>T-300201, T-300202, T-300203, T-300204, T-300301, T-300302, T-300303, T-300304, T-300401</x:v>
      </x:c>
      <x:c r="H498" s="12" t="str">
        <x:v>reports/S30/requirements_status.csv</x:v>
      </x:c>
      <x:c r="I498" s="12" t="str">
        <x:v>ARTIFACT_REVIEW</x:v>
      </x:c>
      <x:c r="J498" s="12" t="str">
        <x:v>L</x:v>
      </x:c>
      <x:c r="K498" s="12" t="str">
        <x:v>reports/tasks/T-300402/evidence.json</x:v>
      </x:c>
      <x:c r="L498" s="12" t="str">
        <x:v>tasks/T-300402.md</x:v>
      </x:c>
      <x:c r="M498" s="12" t="str">
        <x:v>none</x:v>
      </x:c>
    </x:row>
    <x:row r="499" ht="58" customHeight="1">
      <x:c r="A499" s="12" t="str">
        <x:v>T-300403</x:v>
      </x:c>
      <x:c r="B499" s="12" t="str">
        <x:v>S30</x:v>
      </x:c>
      <x:c r="C499" s="12" t="str">
        <x:v>ST-3004</x:v>
      </x:c>
      <x:c r="D499" s="12" t="str">
        <x:v>RELEASE_AGENT</x:v>
      </x:c>
      <x:c r="E499" s="12" t="str">
        <x:v>Lập release change policy và branch strategy</x:v>
      </x:c>
      <x:c r="F499" s="12" t="str">
        <x:v>NOT_STARTED</x:v>
      </x:c>
      <x:c r="G499" s="12" t="str">
        <x:v>T-300201, T-300202, T-300203, T-300204, T-300301, T-300302, T-300303, T-300304, T-300402</x:v>
      </x:c>
      <x:c r="H499" s="12" t="str">
        <x:v>docs/release/branch_policy.md</x:v>
      </x:c>
      <x:c r="I499" s="12" t="str">
        <x:v>ARTIFACT_REVIEW</x:v>
      </x:c>
      <x:c r="J499" s="12" t="str">
        <x:v>M</x:v>
      </x:c>
      <x:c r="K499" s="12" t="str">
        <x:v>reports/tasks/T-300403/evidence.json</x:v>
      </x:c>
      <x:c r="L499" s="12" t="str">
        <x:v>tasks/T-300403.md</x:v>
      </x:c>
      <x:c r="M499" s="12" t="str">
        <x:v>none</x:v>
      </x:c>
    </x:row>
    <x:row r="500" ht="58" customHeight="1">
      <x:c r="A500" s="12" t="str">
        <x:v>T-300404</x:v>
      </x:c>
      <x:c r="B500" s="12" t="str">
        <x:v>S30</x:v>
      </x:c>
      <x:c r="C500" s="12" t="str">
        <x:v>ST-3004</x:v>
      </x:c>
      <x:c r="D500" s="12" t="str">
        <x:v>ORCHESTRATOR</x:v>
      </x:c>
      <x:c r="E500" s="12" t="str">
        <x:v>Duyệt G6 và đóng Beta2</x:v>
      </x:c>
      <x:c r="F500" s="12" t="str">
        <x:v>NOT_STARTED</x:v>
      </x:c>
      <x:c r="G500" s="12" t="str">
        <x:v>T-300201, T-300202, T-300203, T-300204, T-300301, T-300302, T-300303, T-300304, T-300403</x:v>
      </x:c>
      <x:c r="H500" s="12" t="str">
        <x:v>reports/S30/gate_G6.md; build_manifest/beta2.json</x:v>
      </x:c>
      <x:c r="I500" s="12" t="str">
        <x:v>ARTIFACT_REVIEW</x:v>
      </x:c>
      <x:c r="J500" s="12" t="str">
        <x:v>S</x:v>
      </x:c>
      <x:c r="K500" s="12" t="str">
        <x:v>reports/tasks/T-300404/evidence.json</x:v>
      </x:c>
      <x:c r="L500" s="12" t="str">
        <x:v>tasks/T-300404.md</x:v>
      </x:c>
      <x:c r="M500" s="12" t="str">
        <x:v>none</x:v>
      </x:c>
    </x:row>
    <x:row r="501" ht="58" customHeight="1">
      <x:c r="A501" s="12" t="str">
        <x:v>T-310101</x:v>
      </x:c>
      <x:c r="B501" s="12" t="str">
        <x:v>S31</x:v>
      </x:c>
      <x:c r="C501" s="12" t="str">
        <x:v>ST-3101</x:v>
      </x:c>
      <x:c r="D501" s="12" t="str">
        <x:v>GAMEPLAY_AGENT</x:v>
      </x:c>
      <x:c r="E501" s="12" t="str">
        <x:v>Khóa benchmark routes và capture settings</x:v>
      </x:c>
      <x:c r="F501" s="12" t="str">
        <x:v>NOT_STARTED</x:v>
      </x:c>
      <x:c r="G501" s="12" t="str">
        <x:v>T-300401, T-300402, T-300403, T-300404</x:v>
      </x:c>
      <x:c r="H501" s="12" t="str">
        <x:v>docs/performance_protocol.md</x:v>
      </x:c>
      <x:c r="I501" s="12" t="str">
        <x:v>ARTIFACT_REVIEW, ENGINE_TEST</x:v>
      </x:c>
      <x:c r="J501" s="12" t="str">
        <x:v>M</x:v>
      </x:c>
      <x:c r="K501" s="12" t="str">
        <x:v>reports/tasks/T-310101/evidence.json</x:v>
      </x:c>
      <x:c r="L501" s="12" t="str">
        <x:v>tasks/T-310101.md</x:v>
      </x:c>
      <x:c r="M501" s="12" t="str">
        <x:v>none</x:v>
      </x:c>
    </x:row>
    <x:row r="502" ht="58" customHeight="1">
      <x:c r="A502" s="12" t="str">
        <x:v>T-310102</x:v>
      </x:c>
      <x:c r="B502" s="12" t="str">
        <x:v>S31</x:v>
      </x:c>
      <x:c r="C502" s="12" t="str">
        <x:v>ST-3101</x:v>
      </x:c>
      <x:c r="D502" s="12" t="str">
        <x:v>QA_AGENT</x:v>
      </x:c>
      <x:c r="E502" s="12" t="str">
        <x:v>Profile CPU/physics/scene script hotspots</x:v>
      </x:c>
      <x:c r="F502" s="12" t="str">
        <x:v>NOT_STARTED</x:v>
      </x:c>
      <x:c r="G502" s="12" t="str">
        <x:v>T-300401, T-300402, T-300403, T-300404, T-310101</x:v>
      </x:c>
      <x:c r="H502" s="12" t="str">
        <x:v>reports/S31/cpu_profile.md</x:v>
      </x:c>
      <x:c r="I502" s="12" t="str">
        <x:v>ARTIFACT_REVIEW, ENGINE_TEST, RENDERED_RUNTIME</x:v>
      </x:c>
      <x:c r="J502" s="12" t="str">
        <x:v>L</x:v>
      </x:c>
      <x:c r="K502" s="12" t="str">
        <x:v>reports/tasks/T-310102/evidence.json</x:v>
      </x:c>
      <x:c r="L502" s="12" t="str">
        <x:v>tasks/T-310102.md</x:v>
      </x:c>
      <x:c r="M502" s="12" t="str">
        <x:v>none</x:v>
      </x:c>
    </x:row>
    <x:row r="503" ht="58" customHeight="1">
      <x:c r="A503" s="12" t="str">
        <x:v>T-310103</x:v>
      </x:c>
      <x:c r="B503" s="12" t="str">
        <x:v>S31</x:v>
      </x:c>
      <x:c r="C503" s="12" t="str">
        <x:v>ST-3101</x:v>
      </x:c>
      <x:c r="D503" s="12" t="str">
        <x:v>QA_AGENT</x:v>
      </x:c>
      <x:c r="E503" s="12" t="str">
        <x:v>Profile GPU/overdraw/shadow/particles</x:v>
      </x:c>
      <x:c r="F503" s="12" t="str">
        <x:v>NOT_STARTED</x:v>
      </x:c>
      <x:c r="G503" s="12" t="str">
        <x:v>T-300401, T-300402, T-300403, T-300404, T-310102</x:v>
      </x:c>
      <x:c r="H503" s="12" t="str">
        <x:v>reports/S31/gpu_profile.md</x:v>
      </x:c>
      <x:c r="I503" s="12" t="str">
        <x:v>ARTIFACT_REVIEW, ENGINE_TEST, RENDERED_RUNTIME</x:v>
      </x:c>
      <x:c r="J503" s="12" t="str">
        <x:v>L</x:v>
      </x:c>
      <x:c r="K503" s="12" t="str">
        <x:v>reports/tasks/T-310103/evidence.json</x:v>
      </x:c>
      <x:c r="L503" s="12" t="str">
        <x:v>tasks/T-310103.md</x:v>
      </x:c>
      <x:c r="M503" s="12" t="str">
        <x:v>none</x:v>
      </x:c>
    </x:row>
    <x:row r="504" ht="58" customHeight="1">
      <x:c r="A504" s="12" t="str">
        <x:v>T-310104</x:v>
      </x:c>
      <x:c r="B504" s="12" t="str">
        <x:v>S31</x:v>
      </x:c>
      <x:c r="C504" s="12" t="str">
        <x:v>ST-3101</x:v>
      </x:c>
      <x:c r="D504" s="12" t="str">
        <x:v>GAMEPLAY_AGENT</x:v>
      </x:c>
      <x:c r="E504" s="12" t="str">
        <x:v>Rerun so sánh trước/sau cùng điều kiện</x:v>
      </x:c>
      <x:c r="F504" s="12" t="str">
        <x:v>NOT_STARTED</x:v>
      </x:c>
      <x:c r="G504" s="12" t="str">
        <x:v>T-300401, T-300402, T-300403, T-300404, T-310103</x:v>
      </x:c>
      <x:c r="H504" s="12" t="str">
        <x:v>reports/S31/benchmark_delta.csv</x:v>
      </x:c>
      <x:c r="I504" s="12" t="str">
        <x:v>ARTIFACT_REVIEW, ENGINE_TEST</x:v>
      </x:c>
      <x:c r="J504" s="12" t="str">
        <x:v>S</x:v>
      </x:c>
      <x:c r="K504" s="12" t="str">
        <x:v>reports/tasks/T-310104/evidence.json</x:v>
      </x:c>
      <x:c r="L504" s="12" t="str">
        <x:v>tasks/T-310104.md</x:v>
      </x:c>
      <x:c r="M504" s="12" t="str">
        <x:v>none</x:v>
      </x:c>
    </x:row>
    <x:row r="505" ht="58" customHeight="1">
      <x:c r="A505" s="12" t="str">
        <x:v>T-310201</x:v>
      </x:c>
      <x:c r="B505" s="12" t="str">
        <x:v>S31</x:v>
      </x:c>
      <x:c r="C505" s="12" t="str">
        <x:v>ST-3102</x:v>
      </x:c>
      <x:c r="D505" s="12" t="str">
        <x:v>GAMEPLAY_AGENT</x:v>
      </x:c>
      <x:c r="E505" s="12" t="str">
        <x:v>Chốt feature toggles cho ba presets</x:v>
      </x:c>
      <x:c r="F505" s="12" t="str">
        <x:v>NOT_STARTED</x:v>
      </x:c>
      <x:c r="G505" s="12" t="str">
        <x:v>T-310101, T-310102, T-310103, T-310104</x:v>
      </x:c>
      <x:c r="H505" s="12" t="str">
        <x:v>data/settings/quality_presets.tres</x:v>
      </x:c>
      <x:c r="I505" s="12" t="str">
        <x:v>ARTIFACT_REVIEW, ENGINE_TEST</x:v>
      </x:c>
      <x:c r="J505" s="12" t="str">
        <x:v>M</x:v>
      </x:c>
      <x:c r="K505" s="12" t="str">
        <x:v>reports/tasks/T-310201/evidence.json</x:v>
      </x:c>
      <x:c r="L505" s="12" t="str">
        <x:v>tasks/T-310201.md</x:v>
      </x:c>
      <x:c r="M505" s="12" t="str">
        <x:v>none</x:v>
      </x:c>
    </x:row>
    <x:row r="506" ht="58" customHeight="1">
      <x:c r="A506" s="12" t="str">
        <x:v>T-310202</x:v>
      </x:c>
      <x:c r="B506" s="12" t="str">
        <x:v>S31</x:v>
      </x:c>
      <x:c r="C506" s="12" t="str">
        <x:v>ST-3102</x:v>
      </x:c>
      <x:c r="D506" s="12" t="str">
        <x:v>GAMEPLAY_AGENT</x:v>
      </x:c>
      <x:c r="E506" s="12" t="str">
        <x:v>Sửa loading/prewarm/resource lifetime bottlenecks</x:v>
      </x:c>
      <x:c r="F506" s="12" t="str">
        <x:v>NOT_STARTED</x:v>
      </x:c>
      <x:c r="G506" s="12" t="str">
        <x:v>T-310101, T-310102, T-310103, T-310104, T-310201</x:v>
      </x:c>
      <x:c r="H506" s="12" t="str">
        <x:v>scripts/levels/; scripts/core/</x:v>
      </x:c>
      <x:c r="I506" s="12" t="str">
        <x:v>ARTIFACT_REVIEW, ENGINE_TEST</x:v>
      </x:c>
      <x:c r="J506" s="12" t="str">
        <x:v>L</x:v>
      </x:c>
      <x:c r="K506" s="12" t="str">
        <x:v>reports/tasks/T-310202/evidence.json</x:v>
      </x:c>
      <x:c r="L506" s="12" t="str">
        <x:v>tasks/T-310202.md</x:v>
      </x:c>
      <x:c r="M506" s="12" t="str">
        <x:v>none</x:v>
      </x:c>
    </x:row>
    <x:row r="507" ht="58" customHeight="1">
      <x:c r="A507" s="12" t="str">
        <x:v>T-310203</x:v>
      </x:c>
      <x:c r="B507" s="12" t="str">
        <x:v>S31</x:v>
      </x:c>
      <x:c r="C507" s="12" t="str">
        <x:v>ST-3102</x:v>
      </x:c>
      <x:c r="D507" s="12" t="str">
        <x:v>QA_AGENT</x:v>
      </x:c>
      <x:c r="E507" s="12" t="str">
        <x:v>Đo memory sau các vòng chapter revisit</x:v>
      </x:c>
      <x:c r="F507" s="12" t="str">
        <x:v>NOT_STARTED</x:v>
      </x:c>
      <x:c r="G507" s="12" t="str">
        <x:v>T-310101, T-310102, T-310103, T-310104, T-310202</x:v>
      </x:c>
      <x:c r="H507" s="12" t="str">
        <x:v>reports/S31/memory.csv</x:v>
      </x:c>
      <x:c r="I507" s="12" t="str">
        <x:v>ARTIFACT_REVIEW, ENGINE_TEST, RENDERED_RUNTIME</x:v>
      </x:c>
      <x:c r="J507" s="12" t="str">
        <x:v>M</x:v>
      </x:c>
      <x:c r="K507" s="12" t="str">
        <x:v>reports/tasks/T-310203/evidence.json</x:v>
      </x:c>
      <x:c r="L507" s="12" t="str">
        <x:v>tasks/T-310203.md</x:v>
      </x:c>
      <x:c r="M507" s="12" t="str">
        <x:v>none</x:v>
      </x:c>
    </x:row>
    <x:row r="508" ht="58" customHeight="1">
      <x:c r="A508" s="12" t="str">
        <x:v>T-310204</x:v>
      </x:c>
      <x:c r="B508" s="12" t="str">
        <x:v>S31</x:v>
      </x:c>
      <x:c r="C508" s="12" t="str">
        <x:v>ST-3102</x:v>
      </x:c>
      <x:c r="D508" s="12" t="str">
        <x:v>GAMEPLAY_AGENT</x:v>
      </x:c>
      <x:c r="E508" s="12" t="str">
        <x:v>Tuning fallback và kiểm tra UI trên Low</x:v>
      </x:c>
      <x:c r="F508" s="12" t="str">
        <x:v>NOT_STARTED</x:v>
      </x:c>
      <x:c r="G508" s="12" t="str">
        <x:v>T-310101, T-310102, T-310103, T-310104, T-310203</x:v>
      </x:c>
      <x:c r="H508" s="12" t="str">
        <x:v>reports/S31/quality_readability.md</x:v>
      </x:c>
      <x:c r="I508" s="12" t="str">
        <x:v>ARTIFACT_REVIEW, ENGINE_TEST</x:v>
      </x:c>
      <x:c r="J508" s="12" t="str">
        <x:v>S</x:v>
      </x:c>
      <x:c r="K508" s="12" t="str">
        <x:v>reports/tasks/T-310204/evidence.json</x:v>
      </x:c>
      <x:c r="L508" s="12" t="str">
        <x:v>tasks/T-310204.md</x:v>
      </x:c>
      <x:c r="M508" s="12" t="str">
        <x:v>none</x:v>
      </x:c>
    </x:row>
    <x:row r="509" ht="58" customHeight="1">
      <x:c r="A509" s="12" t="str">
        <x:v>T-310301</x:v>
      </x:c>
      <x:c r="B509" s="12" t="str">
        <x:v>S31</x:v>
      </x:c>
      <x:c r="C509" s="12" t="str">
        <x:v>ST-3103</x:v>
      </x:c>
      <x:c r="D509" s="12" t="str">
        <x:v>ART_AGENT</x:v>
      </x:c>
      <x:c r="E509" s="12" t="str">
        <x:v>Giảm mesh/material/drawcall ở hotspot</x:v>
      </x:c>
      <x:c r="F509" s="12" t="str">
        <x:v>NOT_STARTED</x:v>
      </x:c>
      <x:c r="G509" s="12" t="str">
        <x:v>T-310101, T-310102, T-310103, T-310104</x:v>
      </x:c>
      <x:c r="H509" s="12" t="str">
        <x:v>art/export/optimized/</x:v>
      </x:c>
      <x:c r="I509" s="12" t="str">
        <x:v>ARTIFACT_REVIEW, RENDERED_RUNTIME</x:v>
      </x:c>
      <x:c r="J509" s="12" t="str">
        <x:v>L</x:v>
      </x:c>
      <x:c r="K509" s="12" t="str">
        <x:v>reports/tasks/T-310301/evidence.json</x:v>
      </x:c>
      <x:c r="L509" s="12" t="str">
        <x:v>tasks/T-310301.md</x:v>
      </x:c>
      <x:c r="M509" s="12" t="str">
        <x:v>none</x:v>
      </x:c>
    </x:row>
    <x:row r="510" ht="58" customHeight="1">
      <x:c r="A510" s="12" t="str">
        <x:v>T-310302</x:v>
      </x:c>
      <x:c r="B510" s="12" t="str">
        <x:v>S31</x:v>
      </x:c>
      <x:c r="C510" s="12" t="str">
        <x:v>ST-3103</x:v>
      </x:c>
      <x:c r="D510" s="12" t="str">
        <x:v>ART_AGENT</x:v>
      </x:c>
      <x:c r="E510" s="12" t="str">
        <x:v>Tuning LOD/culling và particle overdraw</x:v>
      </x:c>
      <x:c r="F510" s="12" t="str">
        <x:v>NOT_STARTED</x:v>
      </x:c>
      <x:c r="G510" s="12" t="str">
        <x:v>T-310101, T-310102, T-310103, T-310104, T-310301</x:v>
      </x:c>
      <x:c r="H510" s="12" t="str">
        <x:v>art/vfx/; art/environment/</x:v>
      </x:c>
      <x:c r="I510" s="12" t="str">
        <x:v>ARTIFACT_REVIEW, RENDERED_RUNTIME</x:v>
      </x:c>
      <x:c r="J510" s="12" t="str">
        <x:v>L</x:v>
      </x:c>
      <x:c r="K510" s="12" t="str">
        <x:v>reports/tasks/T-310302/evidence.json</x:v>
      </x:c>
      <x:c r="L510" s="12" t="str">
        <x:v>tasks/T-310302.md</x:v>
      </x:c>
      <x:c r="M510" s="12" t="str">
        <x:v>none</x:v>
      </x:c>
    </x:row>
    <x:row r="511" ht="58" customHeight="1">
      <x:c r="A511" s="12" t="str">
        <x:v>T-310303</x:v>
      </x:c>
      <x:c r="B511" s="12" t="str">
        <x:v>S31</x:v>
      </x:c>
      <x:c r="C511" s="12" t="str">
        <x:v>ST-3103</x:v>
      </x:c>
      <x:c r="D511" s="12" t="str">
        <x:v>ART_AGENT</x:v>
      </x:c>
      <x:c r="E511" s="12" t="str">
        <x:v>Rà texture budget và lighting bake/variants</x:v>
      </x:c>
      <x:c r="F511" s="12" t="str">
        <x:v>NOT_STARTED</x:v>
      </x:c>
      <x:c r="G511" s="12" t="str">
        <x:v>T-310101, T-310102, T-310103, T-310104, T-310302</x:v>
      </x:c>
      <x:c r="H511" s="12" t="str">
        <x:v>art/materials/; art/lighting/</x:v>
      </x:c>
      <x:c r="I511" s="12" t="str">
        <x:v>ARTIFACT_REVIEW, RENDERED_RUNTIME</x:v>
      </x:c>
      <x:c r="J511" s="12" t="str">
        <x:v>L</x:v>
      </x:c>
      <x:c r="K511" s="12" t="str">
        <x:v>reports/tasks/T-310303/evidence.json</x:v>
      </x:c>
      <x:c r="L511" s="12" t="str">
        <x:v>tasks/T-310303.md</x:v>
      </x:c>
      <x:c r="M511" s="12" t="str">
        <x:v>none</x:v>
      </x:c>
    </x:row>
    <x:row r="512" ht="58" customHeight="1">
      <x:c r="A512" s="12" t="str">
        <x:v>T-310304</x:v>
      </x:c>
      <x:c r="B512" s="12" t="str">
        <x:v>S31</x:v>
      </x:c>
      <x:c r="C512" s="12" t="str">
        <x:v>ST-3103</x:v>
      </x:c>
      <x:c r="D512" s="12" t="str">
        <x:v>GAMEPLAY_AGENT</x:v>
      </x:c>
      <x:c r="E512" s="12" t="str">
        <x:v>Ghép asset optimized và rerun benchmark</x:v>
      </x:c>
      <x:c r="F512" s="12" t="str">
        <x:v>NOT_STARTED</x:v>
      </x:c>
      <x:c r="G512" s="12" t="str">
        <x:v>T-310101, T-310102, T-310103, T-310104, T-310303</x:v>
      </x:c>
      <x:c r="H512" s="12" t="str">
        <x:v>reports/S31/asset_perf_signoff.md</x:v>
      </x:c>
      <x:c r="I512" s="12" t="str">
        <x:v>ARTIFACT_REVIEW, ENGINE_TEST</x:v>
      </x:c>
      <x:c r="J512" s="12" t="str">
        <x:v>M</x:v>
      </x:c>
      <x:c r="K512" s="12" t="str">
        <x:v>reports/tasks/T-310304/evidence.json</x:v>
      </x:c>
      <x:c r="L512" s="12" t="str">
        <x:v>tasks/T-310304.md</x:v>
      </x:c>
      <x:c r="M512" s="12" t="str">
        <x:v>none</x:v>
      </x:c>
    </x:row>
    <x:row r="513" ht="58" customHeight="1">
      <x:c r="A513" s="12" t="str">
        <x:v>T-310401</x:v>
      </x:c>
      <x:c r="B513" s="12" t="str">
        <x:v>S31</x:v>
      </x:c>
      <x:c r="C513" s="12" t="str">
        <x:v>ST-3104</x:v>
      </x:c>
      <x:c r="D513" s="12" t="str">
        <x:v>QA_AGENT</x:v>
      </x:c>
      <x:c r="E513" s="12" t="str">
        <x:v>Chạy soak và switch/cinematic/reload stress</x:v>
      </x:c>
      <x:c r="F513" s="12" t="str">
        <x:v>NOT_STARTED</x:v>
      </x:c>
      <x:c r="G513" s="12" t="str">
        <x:v>T-310201, T-310202, T-310203, T-310204, T-310301, T-310302, T-310303, T-310304</x:v>
      </x:c>
      <x:c r="H513" s="12" t="str">
        <x:v>reports/S31/soak.csv</x:v>
      </x:c>
      <x:c r="I513" s="12" t="str">
        <x:v>ARTIFACT_REVIEW, ENGINE_TEST, RENDERED_RUNTIME</x:v>
      </x:c>
      <x:c r="J513" s="12" t="str">
        <x:v>L</x:v>
      </x:c>
      <x:c r="K513" s="12" t="str">
        <x:v>reports/tasks/T-310401/evidence.json</x:v>
      </x:c>
      <x:c r="L513" s="12" t="str">
        <x:v>tasks/T-310401.md</x:v>
      </x:c>
      <x:c r="M513" s="12" t="str">
        <x:v>none</x:v>
      </x:c>
    </x:row>
    <x:row r="514" ht="58" customHeight="1">
      <x:c r="A514" s="12" t="str">
        <x:v>T-310402</x:v>
      </x:c>
      <x:c r="B514" s="12" t="str">
        <x:v>S31</x:v>
      </x:c>
      <x:c r="C514" s="12" t="str">
        <x:v>ST-3104</x:v>
      </x:c>
      <x:c r="D514" s="12" t="str">
        <x:v>QA_AGENT</x:v>
      </x:c>
      <x:c r="E514" s="12" t="str">
        <x:v>Đo route benchmark trên máy thứ hai</x:v>
      </x:c>
      <x:c r="F514" s="12" t="str">
        <x:v>NOT_STARTED</x:v>
      </x:c>
      <x:c r="G514" s="12" t="str">
        <x:v>T-310201, T-310202, T-310203, T-310204, T-310301, T-310302, T-310303, T-310304, T-310401</x:v>
      </x:c>
      <x:c r="H514" s="12" t="str">
        <x:v>reports/S31/hardware_B.csv</x:v>
      </x:c>
      <x:c r="I514" s="12" t="str">
        <x:v>ARTIFACT_REVIEW, ENGINE_TEST, RENDERED_RUNTIME</x:v>
      </x:c>
      <x:c r="J514" s="12" t="str">
        <x:v>L</x:v>
      </x:c>
      <x:c r="K514" s="12" t="str">
        <x:v>reports/tasks/T-310402/evidence.json</x:v>
      </x:c>
      <x:c r="L514" s="12" t="str">
        <x:v>tasks/T-310402.md</x:v>
      </x:c>
      <x:c r="M514" s="12" t="str">
        <x:v>none</x:v>
      </x:c>
    </x:row>
    <x:row r="515" ht="58" customHeight="1">
      <x:c r="A515" s="12" t="str">
        <x:v>T-310403</x:v>
      </x:c>
      <x:c r="B515" s="12" t="str">
        <x:v>S31</x:v>
      </x:c>
      <x:c r="C515" s="12" t="str">
        <x:v>ST-3104</x:v>
      </x:c>
      <x:c r="D515" s="12" t="str">
        <x:v>QA_AGENT</x:v>
      </x:c>
      <x:c r="E515" s="12" t="str">
        <x:v>Sửa regression/perf blocker ưu tiên</x:v>
      </x:c>
      <x:c r="F515" s="12" t="str">
        <x:v>NOT_STARTED</x:v>
      </x:c>
      <x:c r="G515" s="12" t="str">
        <x:v>T-310201, T-310202, T-310203, T-310204, T-310301, T-310302, T-310303, T-310304, T-310402</x:v>
      </x:c>
      <x:c r="H515" s="12" t="str">
        <x:v>reports/S31/fixes.md</x:v>
      </x:c>
      <x:c r="I515" s="12" t="str">
        <x:v>ARTIFACT_REVIEW, ENGINE_TEST, RENDERED_RUNTIME</x:v>
      </x:c>
      <x:c r="J515" s="12" t="str">
        <x:v>L</x:v>
      </x:c>
      <x:c r="K515" s="12" t="str">
        <x:v>reports/tasks/T-310403/evidence.json</x:v>
      </x:c>
      <x:c r="L515" s="12" t="str">
        <x:v>tasks/T-310403.md</x:v>
      </x:c>
      <x:c r="M515" s="12" t="str">
        <x:v>none</x:v>
      </x:c>
    </x:row>
    <x:row r="516" ht="58" customHeight="1">
      <x:c r="A516" s="12" t="str">
        <x:v>T-310404</x:v>
      </x:c>
      <x:c r="B516" s="12" t="str">
        <x:v>S31</x:v>
      </x:c>
      <x:c r="C516" s="12" t="str">
        <x:v>ST-3104</x:v>
      </x:c>
      <x:c r="D516" s="12" t="str">
        <x:v>RELEASE_AGENT</x:v>
      </x:c>
      <x:c r="E516" s="12" t="str">
        <x:v>Review performance release baseline</x:v>
      </x:c>
      <x:c r="F516" s="12" t="str">
        <x:v>NOT_STARTED</x:v>
      </x:c>
      <x:c r="G516" s="12" t="str">
        <x:v>T-310201, T-310202, T-310203, T-310204, T-310301, T-310302, T-310303, T-310304, T-310403</x:v>
      </x:c>
      <x:c r="H516" s="12" t="str">
        <x:v>reports/S31/performance_signoff.md</x:v>
      </x:c>
      <x:c r="I516" s="12" t="str">
        <x:v>ARTIFACT_REVIEW</x:v>
      </x:c>
      <x:c r="J516" s="12" t="str">
        <x:v>S</x:v>
      </x:c>
      <x:c r="K516" s="12" t="str">
        <x:v>reports/tasks/T-310404/evidence.json</x:v>
      </x:c>
      <x:c r="L516" s="12" t="str">
        <x:v>tasks/T-310404.md</x:v>
      </x:c>
      <x:c r="M516" s="12" t="str">
        <x:v>none</x:v>
      </x:c>
    </x:row>
    <x:row r="517" ht="58" customHeight="1">
      <x:c r="A517" s="12" t="str">
        <x:v>T-320101</x:v>
      </x:c>
      <x:c r="B517" s="12" t="str">
        <x:v>S32</x:v>
      </x:c>
      <x:c r="C517" s="12" t="str">
        <x:v>ST-3201</x:v>
      </x:c>
      <x:c r="D517" s="12" t="str">
        <x:v>RELEASE_AGENT</x:v>
      </x:c>
      <x:c r="E517" s="12" t="str">
        <x:v>Audit description/features/content warnings</x:v>
      </x:c>
      <x:c r="F517" s="12" t="str">
        <x:v>NOT_STARTED</x:v>
      </x:c>
      <x:c r="G517" s="12" t="str">
        <x:v>T-140501, T-140502, T-140503, T-140504, T-140505, T-200501, T-200502, T-200503, T-200504, T-200505, T-310401, T-310402, T-310403, T-310404</x:v>
      </x:c>
      <x:c r="H517" s="12" t="str">
        <x:v>marketing/store_copy_final.md</x:v>
      </x:c>
      <x:c r="I517" s="12" t="str">
        <x:v>ARTIFACT_REVIEW</x:v>
      </x:c>
      <x:c r="J517" s="12" t="str">
        <x:v>M</x:v>
      </x:c>
      <x:c r="K517" s="12" t="str">
        <x:v>reports/tasks/T-320101/evidence.json</x:v>
      </x:c>
      <x:c r="L517" s="12" t="str">
        <x:v>tasks/T-320101.md</x:v>
      </x:c>
      <x:c r="M517" s="12" t="str">
        <x:v>none</x:v>
      </x:c>
    </x:row>
    <x:row r="518" ht="58" customHeight="1">
      <x:c r="A518" s="12" t="str">
        <x:v>T-320102</x:v>
      </x:c>
      <x:c r="B518" s="12" t="str">
        <x:v>S32</x:v>
      </x:c>
      <x:c r="C518" s="12" t="str">
        <x:v>ST-3201</x:v>
      </x:c>
      <x:c r="D518" s="12" t="str">
        <x:v>ART_AGENT</x:v>
      </x:c>
      <x:c r="E518" s="12" t="str">
        <x:v>Hoàn thiện capsule/screenshots/trailer cut</x:v>
      </x:c>
      <x:c r="F518" s="12" t="str">
        <x:v>NOT_STARTED</x:v>
      </x:c>
      <x:c r="G518" s="12" t="str">
        <x:v>T-140501, T-140502, T-140503, T-140504, T-140505, T-200501, T-200502, T-200503, T-200504, T-200505, T-310401, T-310402, T-310403, T-310404, T-320101</x:v>
      </x:c>
      <x:c r="H518" s="12" t="str">
        <x:v>marketing/store_assets_final/</x:v>
      </x:c>
      <x:c r="I518" s="12" t="str">
        <x:v>ARTIFACT_REVIEW, RENDERED_RUNTIME</x:v>
      </x:c>
      <x:c r="J518" s="12" t="str">
        <x:v>L</x:v>
      </x:c>
      <x:c r="K518" s="12" t="str">
        <x:v>reports/tasks/T-320102/evidence.json</x:v>
      </x:c>
      <x:c r="L518" s="12" t="str">
        <x:v>tasks/T-320102.md</x:v>
      </x:c>
      <x:c r="M518" s="12" t="str">
        <x:v>none</x:v>
      </x:c>
    </x:row>
    <x:row r="519" ht="58" customHeight="1">
      <x:c r="A519" s="12" t="str">
        <x:v>T-320103</x:v>
      </x:c>
      <x:c r="B519" s="12" t="str">
        <x:v>S32</x:v>
      </x:c>
      <x:c r="C519" s="12" t="str">
        <x:v>ST-3201</x:v>
      </x:c>
      <x:c r="D519" s="12" t="str">
        <x:v>RELEASE_AGENT</x:v>
      </x:c>
      <x:c r="E519" s="12" t="str">
        <x:v>Ghép press kit, FAQs và thông tin hỗ trợ</x:v>
      </x:c>
      <x:c r="F519" s="12" t="str">
        <x:v>NOT_STARTED</x:v>
      </x:c>
      <x:c r="G519" s="12" t="str">
        <x:v>T-140501, T-140502, T-140503, T-140504, T-140505, T-200501, T-200502, T-200503, T-200504, T-200505, T-310401, T-310402, T-310403, T-310404, T-320102</x:v>
      </x:c>
      <x:c r="H519" s="12" t="str">
        <x:v>marketing/presskit_final.md</x:v>
      </x:c>
      <x:c r="I519" s="12" t="str">
        <x:v>ARTIFACT_REVIEW</x:v>
      </x:c>
      <x:c r="J519" s="12" t="str">
        <x:v>M</x:v>
      </x:c>
      <x:c r="K519" s="12" t="str">
        <x:v>reports/tasks/T-320103/evidence.json</x:v>
      </x:c>
      <x:c r="L519" s="12" t="str">
        <x:v>tasks/T-320103.md</x:v>
      </x:c>
      <x:c r="M519" s="12" t="str">
        <x:v>none</x:v>
      </x:c>
    </x:row>
    <x:row r="520" ht="58" customHeight="1">
      <x:c r="A520" s="12" t="str">
        <x:v>T-320104</x:v>
      </x:c>
      <x:c r="B520" s="12" t="str">
        <x:v>S32</x:v>
      </x:c>
      <x:c r="C520" s="12" t="str">
        <x:v>ST-3201</x:v>
      </x:c>
      <x:c r="D520" s="12" t="str">
        <x:v>RELEASE_AGENT</x:v>
      </x:c>
      <x:c r="E520" s="12" t="str">
        <x:v>Owner duyệt store draft và ready-for-review</x:v>
      </x:c>
      <x:c r="F520" s="12" t="str">
        <x:v>NOT_STARTED</x:v>
      </x:c>
      <x:c r="G520" s="12" t="str">
        <x:v>T-140501, T-140502, T-140503, T-140504, T-140505, T-200501, T-200502, T-200503, T-200504, T-200505, T-310401, T-310402, T-310403, T-310404, T-320103</x:v>
      </x:c>
      <x:c r="H520" s="12" t="str">
        <x:v>reports/S32/store_review_request.md</x:v>
      </x:c>
      <x:c r="I520" s="12" t="str">
        <x:v>ARTIFACT_REVIEW</x:v>
      </x:c>
      <x:c r="J520" s="12" t="str">
        <x:v>S</x:v>
      </x:c>
      <x:c r="K520" s="12" t="str">
        <x:v>reports/tasks/T-320104/evidence.json</x:v>
      </x:c>
      <x:c r="L520" s="12" t="str">
        <x:v>tasks/T-320104.md</x:v>
      </x:c>
      <x:c r="M520" s="12" t="str">
        <x:v>none</x:v>
      </x:c>
    </x:row>
    <x:row r="521" ht="58" customHeight="1">
      <x:c r="A521" s="12" t="str">
        <x:v>T-320201</x:v>
      </x:c>
      <x:c r="B521" s="12" t="str">
        <x:v>S32</x:v>
      </x:c>
      <x:c r="C521" s="12" t="str">
        <x:v>ST-3202</x:v>
      </x:c>
      <x:c r="D521" s="12" t="str">
        <x:v>RELEASE_AGENT</x:v>
      </x:c>
      <x:c r="E521" s="12" t="str">
        <x:v>Audit quyền của tất cả asset và nguồn sinh</x:v>
      </x:c>
      <x:c r="F521" s="12" t="str">
        <x:v>NOT_STARTED</x:v>
      </x:c>
      <x:c r="G521" s="12" t="str">
        <x:v>T-260301, T-260302, T-260303, T-260304, T-320101, T-320102, T-320103, T-320104</x:v>
      </x:c>
      <x:c r="H521" s="12" t="str">
        <x:v>reports/S32/asset_rights_audit.md</x:v>
      </x:c>
      <x:c r="I521" s="12" t="str">
        <x:v>ARTIFACT_REVIEW</x:v>
      </x:c>
      <x:c r="J521" s="12" t="str">
        <x:v>M</x:v>
      </x:c>
      <x:c r="K521" s="12" t="str">
        <x:v>reports/tasks/T-320201/evidence.json</x:v>
      </x:c>
      <x:c r="L521" s="12" t="str">
        <x:v>tasks/T-320201.md</x:v>
      </x:c>
      <x:c r="M521" s="12" t="str">
        <x:v>none</x:v>
      </x:c>
    </x:row>
    <x:row r="522" ht="58" customHeight="1">
      <x:c r="A522" s="12" t="str">
        <x:v>T-320202</x:v>
      </x:c>
      <x:c r="B522" s="12" t="str">
        <x:v>S32</x:v>
      </x:c>
      <x:c r="C522" s="12" t="str">
        <x:v>ST-3202</x:v>
      </x:c>
      <x:c r="D522" s="12" t="str">
        <x:v>GAMEPLAY_AGENT</x:v>
      </x:c>
      <x:c r="E522" s="12" t="str">
        <x:v>Hoàn thiện credits/notices và thông tin riêng tư</x:v>
      </x:c>
      <x:c r="F522" s="12" t="str">
        <x:v>NOT_STARTED</x:v>
      </x:c>
      <x:c r="G522" s="12" t="str">
        <x:v>T-260301, T-260302, T-260303, T-260304, T-320101, T-320102, T-320103, T-320104, T-320201</x:v>
      </x:c>
      <x:c r="H522" s="12" t="str">
        <x:v>data/credits/; THIRD_PARTY_NOTICES.txt</x:v>
      </x:c>
      <x:c r="I522" s="12" t="str">
        <x:v>ARTIFACT_REVIEW, ENGINE_TEST</x:v>
      </x:c>
      <x:c r="J522" s="12" t="str">
        <x:v>M</x:v>
      </x:c>
      <x:c r="K522" s="12" t="str">
        <x:v>reports/tasks/T-320202/evidence.json</x:v>
      </x:c>
      <x:c r="L522" s="12" t="str">
        <x:v>tasks/T-320202.md</x:v>
      </x:c>
      <x:c r="M522" s="12" t="str">
        <x:v>none</x:v>
      </x:c>
    </x:row>
    <x:row r="523" ht="58" customHeight="1">
      <x:c r="A523" s="12" t="str">
        <x:v>T-320203</x:v>
      </x:c>
      <x:c r="B523" s="12" t="str">
        <x:v>S32</x:v>
      </x:c>
      <x:c r="C523" s="12" t="str">
        <x:v>ST-3202</x:v>
      </x:c>
      <x:c r="D523" s="12" t="str">
        <x:v>RELEASE_AGENT</x:v>
      </x:c>
      <x:c r="E523" s="12" t="str">
        <x:v>Đối chiếu questionnaire/content warnings hiện hành</x:v>
      </x:c>
      <x:c r="F523" s="12" t="str">
        <x:v>NOT_STARTED</x:v>
      </x:c>
      <x:c r="G523" s="12" t="str">
        <x:v>T-260301, T-260302, T-260303, T-260304, T-320101, T-320102, T-320103, T-320104, T-320202</x:v>
      </x:c>
      <x:c r="H523" s="12" t="str">
        <x:v>docs/release/compliance_checklist.md</x:v>
      </x:c>
      <x:c r="I523" s="12" t="str">
        <x:v>ARTIFACT_REVIEW</x:v>
      </x:c>
      <x:c r="J523" s="12" t="str">
        <x:v>M</x:v>
      </x:c>
      <x:c r="K523" s="12" t="str">
        <x:v>reports/tasks/T-320203/evidence.json</x:v>
      </x:c>
      <x:c r="L523" s="12" t="str">
        <x:v>tasks/T-320203.md</x:v>
      </x:c>
      <x:c r="M523" s="12" t="str">
        <x:v>none</x:v>
      </x:c>
    </x:row>
    <x:row r="524" ht="58" customHeight="1">
      <x:c r="A524" s="12" t="str">
        <x:v>T-320204</x:v>
      </x:c>
      <x:c r="B524" s="12" t="str">
        <x:v>S32</x:v>
      </x:c>
      <x:c r="C524" s="12" t="str">
        <x:v>ST-3202</x:v>
      </x:c>
      <x:c r="D524" s="12" t="str">
        <x:v>GAMEPLAY_AGENT</x:v>
      </x:c>
      <x:c r="E524" s="12" t="str">
        <x:v>Owner signoff gói pháp lý/thương mại</x:v>
      </x:c>
      <x:c r="F524" s="12" t="str">
        <x:v>NOT_STARTED</x:v>
      </x:c>
      <x:c r="G524" s="12" t="str">
        <x:v>T-260301, T-260302, T-260303, T-260304, T-320101, T-320102, T-320103, T-320104, T-320203</x:v>
      </x:c>
      <x:c r="H524" s="12" t="str">
        <x:v>reports/S32/rights_signoff.md</x:v>
      </x:c>
      <x:c r="I524" s="12" t="str">
        <x:v>ARTIFACT_REVIEW, ENGINE_TEST</x:v>
      </x:c>
      <x:c r="J524" s="12" t="str">
        <x:v>S</x:v>
      </x:c>
      <x:c r="K524" s="12" t="str">
        <x:v>reports/tasks/T-320204/evidence.json</x:v>
      </x:c>
      <x:c r="L524" s="12" t="str">
        <x:v>tasks/T-320204.md</x:v>
      </x:c>
      <x:c r="M524" s="12" t="str">
        <x:v>none</x:v>
      </x:c>
    </x:row>
    <x:row r="525" ht="58" customHeight="1">
      <x:c r="A525" s="12" t="str">
        <x:v>T-320301</x:v>
      </x:c>
      <x:c r="B525" s="12" t="str">
        <x:v>S32</x:v>
      </x:c>
      <x:c r="C525" s="12" t="str">
        <x:v>ST-3203</x:v>
      </x:c>
      <x:c r="D525" s="12" t="str">
        <x:v>RELEASE_AGENT</x:v>
      </x:c>
      <x:c r="E525" s="12" t="str">
        <x:v>Chuẩn bị depot layout, launch config và release package</x:v>
      </x:c>
      <x:c r="F525" s="12" t="str">
        <x:v>NOT_STARTED</x:v>
      </x:c>
      <x:c r="G525" s="12" t="str">
        <x:v>T-110401, T-110402, T-110403, T-110404, T-320201, T-320202, T-320203, T-320204</x:v>
      </x:c>
      <x:c r="H525" s="12" t="str">
        <x:v>docs/release/steam_depot.md</x:v>
      </x:c>
      <x:c r="I525" s="12" t="str">
        <x:v>ARTIFACT_REVIEW</x:v>
      </x:c>
      <x:c r="J525" s="12" t="str">
        <x:v>M</x:v>
      </x:c>
      <x:c r="K525" s="12" t="str">
        <x:v>reports/tasks/T-320301/evidence.json</x:v>
      </x:c>
      <x:c r="L525" s="12" t="str">
        <x:v>tasks/T-320301.md</x:v>
      </x:c>
      <x:c r="M525" s="12" t="str">
        <x:v>none</x:v>
      </x:c>
    </x:row>
    <x:row r="526" ht="58" customHeight="1">
      <x:c r="A526" s="12" t="str">
        <x:v>T-320302</x:v>
      </x:c>
      <x:c r="B526" s="12" t="str">
        <x:v>S32</x:v>
      </x:c>
      <x:c r="C526" s="12" t="str">
        <x:v>ST-3203</x:v>
      </x:c>
      <x:c r="D526" s="12" t="str">
        <x:v>QA_AGENT</x:v>
      </x:c>
      <x:c r="E526" s="12" t="str">
        <x:v>Owner upload candidate vào nhánh test phù hợp</x:v>
      </x:c>
      <x:c r="F526" s="12" t="str">
        <x:v>NOT_STARTED</x:v>
      </x:c>
      <x:c r="G526" s="12" t="str">
        <x:v>T-110401, T-110402, T-110403, T-110404, T-320201, T-320202, T-320203, T-320204, T-320301</x:v>
      </x:c>
      <x:c r="H526" s="12" t="str">
        <x:v>reports/S32/depot_upload.md</x:v>
      </x:c>
      <x:c r="I526" s="12" t="str">
        <x:v>ARTIFACT_REVIEW, ENGINE_TEST, RENDERED_RUNTIME</x:v>
      </x:c>
      <x:c r="J526" s="12" t="str">
        <x:v>L</x:v>
      </x:c>
      <x:c r="K526" s="12" t="str">
        <x:v>reports/tasks/T-320302/evidence.json</x:v>
      </x:c>
      <x:c r="L526" s="12" t="str">
        <x:v>tasks/T-320302.md</x:v>
      </x:c>
      <x:c r="M526" s="12" t="str">
        <x:v>none</x:v>
      </x:c>
    </x:row>
    <x:row r="527" ht="58" customHeight="1">
      <x:c r="A527" s="12" t="str">
        <x:v>T-320303</x:v>
      </x:c>
      <x:c r="B527" s="12" t="str">
        <x:v>S32</x:v>
      </x:c>
      <x:c r="C527" s="12" t="str">
        <x:v>ST-3203</x:v>
      </x:c>
      <x:c r="D527" s="12" t="str">
        <x:v>RELEASE_AGENT</x:v>
      </x:c>
      <x:c r="E527" s="12" t="str">
        <x:v>Test cài/chạy từ Steam client với entitlement hợp lệ</x:v>
      </x:c>
      <x:c r="F527" s="12" t="str">
        <x:v>NOT_STARTED</x:v>
      </x:c>
      <x:c r="G527" s="12" t="str">
        <x:v>T-110401, T-110402, T-110403, T-110404, T-320201, T-320202, T-320203, T-320204, T-320302</x:v>
      </x:c>
      <x:c r="H527" s="12" t="str">
        <x:v>reports/S32/store_install.md</x:v>
      </x:c>
      <x:c r="I527" s="12" t="str">
        <x:v>ARTIFACT_REVIEW</x:v>
      </x:c>
      <x:c r="J527" s="12" t="str">
        <x:v>M</x:v>
      </x:c>
      <x:c r="K527" s="12" t="str">
        <x:v>reports/tasks/T-320303/evidence.json</x:v>
      </x:c>
      <x:c r="L527" s="12" t="str">
        <x:v>tasks/T-320303.md</x:v>
      </x:c>
      <x:c r="M527" s="12" t="str">
        <x:v>none</x:v>
      </x:c>
    </x:row>
    <x:row r="528" ht="58" customHeight="1">
      <x:c r="A528" s="12" t="str">
        <x:v>T-320304</x:v>
      </x:c>
      <x:c r="B528" s="12" t="str">
        <x:v>S32</x:v>
      </x:c>
      <x:c r="C528" s="12" t="str">
        <x:v>ST-3203</x:v>
      </x:c>
      <x:c r="D528" s="12" t="str">
        <x:v>RELEASE_AGENT</x:v>
      </x:c>
      <x:c r="E528" s="12" t="str">
        <x:v>Chuẩn bị submission manifest và external gates</x:v>
      </x:c>
      <x:c r="F528" s="12" t="str">
        <x:v>NOT_STARTED</x:v>
      </x:c>
      <x:c r="G528" s="12" t="str">
        <x:v>T-110401, T-110402, T-110403, T-110404, T-320201, T-320202, T-320203, T-320204, T-320303</x:v>
      </x:c>
      <x:c r="H528" s="12" t="str">
        <x:v>docs/release/submission_checklist.md</x:v>
      </x:c>
      <x:c r="I528" s="12" t="str">
        <x:v>ARTIFACT_REVIEW</x:v>
      </x:c>
      <x:c r="J528" s="12" t="str">
        <x:v>S</x:v>
      </x:c>
      <x:c r="K528" s="12" t="str">
        <x:v>reports/tasks/T-320304/evidence.json</x:v>
      </x:c>
      <x:c r="L528" s="12" t="str">
        <x:v>tasks/T-320304.md</x:v>
      </x:c>
      <x:c r="M528" s="12" t="str">
        <x:v>none</x:v>
      </x:c>
    </x:row>
    <x:row r="529" ht="58" customHeight="1">
      <x:c r="A529" s="12" t="str">
        <x:v>T-320401</x:v>
      </x:c>
      <x:c r="B529" s="12" t="str">
        <x:v>S32</x:v>
      </x:c>
      <x:c r="C529" s="12" t="str">
        <x:v>ST-3204</x:v>
      </x:c>
      <x:c r="D529" s="12" t="str">
        <x:v>QA_AGENT</x:v>
      </x:c>
      <x:c r="E529" s="12" t="str">
        <x:v>Chạy install/update/offline smoke trên nhánh test</x:v>
      </x:c>
      <x:c r="F529" s="12" t="str">
        <x:v>NOT_STARTED</x:v>
      </x:c>
      <x:c r="G529" s="12" t="str">
        <x:v>T-320301, T-320302, T-320303, T-320304</x:v>
      </x:c>
      <x:c r="H529" s="12" t="str">
        <x:v>reports/S32/distribution_QA.csv</x:v>
      </x:c>
      <x:c r="I529" s="12" t="str">
        <x:v>ARTIFACT_REVIEW, ENGINE_TEST, RENDERED_RUNTIME</x:v>
      </x:c>
      <x:c r="J529" s="12" t="str">
        <x:v>L</x:v>
      </x:c>
      <x:c r="K529" s="12" t="str">
        <x:v>reports/tasks/T-320401/evidence.json</x:v>
      </x:c>
      <x:c r="L529" s="12" t="str">
        <x:v>tasks/T-320401.md</x:v>
      </x:c>
      <x:c r="M529" s="12" t="str">
        <x:v>none</x:v>
      </x:c>
    </x:row>
    <x:row r="530" ht="58" customHeight="1">
      <x:c r="A530" s="12" t="str">
        <x:v>T-320402</x:v>
      </x:c>
      <x:c r="B530" s="12" t="str">
        <x:v>S32</x:v>
      </x:c>
      <x:c r="C530" s="12" t="str">
        <x:v>ST-3204</x:v>
      </x:c>
      <x:c r="D530" s="12" t="str">
        <x:v>QA_AGENT</x:v>
      </x:c>
      <x:c r="E530" s="12" t="str">
        <x:v>Kiểm tra content/metadata theo checklist store</x:v>
      </x:c>
      <x:c r="F530" s="12" t="str">
        <x:v>NOT_STARTED</x:v>
      </x:c>
      <x:c r="G530" s="12" t="str">
        <x:v>T-320301, T-320302, T-320303, T-320304, T-320401</x:v>
      </x:c>
      <x:c r="H530" s="12" t="str">
        <x:v>reports/S32/store_feature_matrix.csv</x:v>
      </x:c>
      <x:c r="I530" s="12" t="str">
        <x:v>ARTIFACT_REVIEW, ENGINE_TEST, RENDERED_RUNTIME</x:v>
      </x:c>
      <x:c r="J530" s="12" t="str">
        <x:v>L</x:v>
      </x:c>
      <x:c r="K530" s="12" t="str">
        <x:v>reports/tasks/T-320402/evidence.json</x:v>
      </x:c>
      <x:c r="L530" s="12" t="str">
        <x:v>tasks/T-320402.md</x:v>
      </x:c>
      <x:c r="M530" s="12" t="str">
        <x:v>none</x:v>
      </x:c>
    </x:row>
    <x:row r="531" ht="58" customHeight="1">
      <x:c r="A531" s="12" t="str">
        <x:v>T-320403</x:v>
      </x:c>
      <x:c r="B531" s="12" t="str">
        <x:v>S32</x:v>
      </x:c>
      <x:c r="C531" s="12" t="str">
        <x:v>ST-3204</x:v>
      </x:c>
      <x:c r="D531" s="12" t="str">
        <x:v>RELEASE_AGENT</x:v>
      </x:c>
      <x:c r="E531" s="12" t="str">
        <x:v>Sửa distribution errors và đóng submission build</x:v>
      </x:c>
      <x:c r="F531" s="12" t="str">
        <x:v>NOT_STARTED</x:v>
      </x:c>
      <x:c r="G531" s="12" t="str">
        <x:v>T-320301, T-320302, T-320303, T-320304, T-320402</x:v>
      </x:c>
      <x:c r="H531" s="12" t="str">
        <x:v>build_manifest/submission.json</x:v>
      </x:c>
      <x:c r="I531" s="12" t="str">
        <x:v>ARTIFACT_REVIEW</x:v>
      </x:c>
      <x:c r="J531" s="12" t="str">
        <x:v>L</x:v>
      </x:c>
      <x:c r="K531" s="12" t="str">
        <x:v>reports/tasks/T-320403/evidence.json</x:v>
      </x:c>
      <x:c r="L531" s="12" t="str">
        <x:v>tasks/T-320403.md</x:v>
      </x:c>
      <x:c r="M531" s="12" t="str">
        <x:v>none</x:v>
      </x:c>
    </x:row>
    <x:row r="532" ht="58" customHeight="1">
      <x:c r="A532" s="12" t="str">
        <x:v>T-320404</x:v>
      </x:c>
      <x:c r="B532" s="12" t="str">
        <x:v>S32</x:v>
      </x:c>
      <x:c r="C532" s="12" t="str">
        <x:v>ST-3204</x:v>
      </x:c>
      <x:c r="D532" s="12" t="str">
        <x:v>ORCHESTRATOR</x:v>
      </x:c>
      <x:c r="E532" s="12" t="str">
        <x:v>Review S32 và plan phản hồi nền tảng</x:v>
      </x:c>
      <x:c r="F532" s="12" t="str">
        <x:v>NOT_STARTED</x:v>
      </x:c>
      <x:c r="G532" s="12" t="str">
        <x:v>T-320301, T-320302, T-320303, T-320304, T-320403</x:v>
      </x:c>
      <x:c r="H532" s="12" t="str">
        <x:v>reports/S32/review.md</x:v>
      </x:c>
      <x:c r="I532" s="12" t="str">
        <x:v>ARTIFACT_REVIEW</x:v>
      </x:c>
      <x:c r="J532" s="12" t="str">
        <x:v>S</x:v>
      </x:c>
      <x:c r="K532" s="12" t="str">
        <x:v>reports/tasks/T-320404/evidence.json</x:v>
      </x:c>
      <x:c r="L532" s="12" t="str">
        <x:v>tasks/T-320404.md</x:v>
      </x:c>
      <x:c r="M532" s="12" t="str">
        <x:v>none</x:v>
      </x:c>
    </x:row>
    <x:row r="533" ht="58" customHeight="1">
      <x:c r="A533" s="12" t="str">
        <x:v>T-330101</x:v>
      </x:c>
      <x:c r="B533" s="12" t="str">
        <x:v>S33</x:v>
      </x:c>
      <x:c r="C533" s="12" t="str">
        <x:v>ST-3301</x:v>
      </x:c>
      <x:c r="D533" s="12" t="str">
        <x:v>RELEASE_AGENT</x:v>
      </x:c>
      <x:c r="E533" s="12" t="str">
        <x:v>Tạo release branch/tag và khóa dependency</x:v>
      </x:c>
      <x:c r="F533" s="12" t="str">
        <x:v>NOT_STARTED</x:v>
      </x:c>
      <x:c r="G533" s="12" t="str">
        <x:v>T-320401, T-320402, T-320403, T-320404</x:v>
      </x:c>
      <x:c r="H533" s="12" t="str">
        <x:v>docs/release/RC1_manifest.md</x:v>
      </x:c>
      <x:c r="I533" s="12" t="str">
        <x:v>ARTIFACT_REVIEW</x:v>
      </x:c>
      <x:c r="J533" s="12" t="str">
        <x:v>M</x:v>
      </x:c>
      <x:c r="K533" s="12" t="str">
        <x:v>reports/tasks/T-330101/evidence.json</x:v>
      </x:c>
      <x:c r="L533" s="12" t="str">
        <x:v>tasks/T-330101.md</x:v>
      </x:c>
      <x:c r="M533" s="12" t="str">
        <x:v>none</x:v>
      </x:c>
    </x:row>
    <x:row r="534" ht="58" customHeight="1">
      <x:c r="A534" s="12" t="str">
        <x:v>T-330102</x:v>
      </x:c>
      <x:c r="B534" s="12" t="str">
        <x:v>S33</x:v>
      </x:c>
      <x:c r="C534" s="12" t="str">
        <x:v>ST-3301</x:v>
      </x:c>
      <x:c r="D534" s="12" t="str">
        <x:v>GAMEPLAY_AGENT</x:v>
      </x:c>
      <x:c r="E534" s="12" t="str">
        <x:v>Build clean, package và kiểm tra nội dung</x:v>
      </x:c>
      <x:c r="F534" s="12" t="str">
        <x:v>NOT_STARTED</x:v>
      </x:c>
      <x:c r="G534" s="12" t="str">
        <x:v>T-320401, T-320402, T-320403, T-320404, T-330101</x:v>
      </x:c>
      <x:c r="H534" s="12" t="str">
        <x:v>build_manifest/RC1.json</x:v>
      </x:c>
      <x:c r="I534" s="12" t="str">
        <x:v>ARTIFACT_REVIEW, ENGINE_TEST</x:v>
      </x:c>
      <x:c r="J534" s="12" t="str">
        <x:v>L</x:v>
      </x:c>
      <x:c r="K534" s="12" t="str">
        <x:v>reports/tasks/T-330102/evidence.json</x:v>
      </x:c>
      <x:c r="L534" s="12" t="str">
        <x:v>tasks/T-330102.md</x:v>
      </x:c>
      <x:c r="M534" s="12" t="str">
        <x:v>none</x:v>
      </x:c>
    </x:row>
    <x:row r="535" ht="58" customHeight="1">
      <x:c r="A535" s="12" t="str">
        <x:v>T-330103</x:v>
      </x:c>
      <x:c r="B535" s="12" t="str">
        <x:v>S33</x:v>
      </x:c>
      <x:c r="C535" s="12" t="str">
        <x:v>ST-3301</x:v>
      </x:c>
      <x:c r="D535" s="12" t="str">
        <x:v>RELEASE_AGENT</x:v>
      </x:c>
      <x:c r="E535" s="12" t="str">
        <x:v>So sánh release/debug flags và secrets scan</x:v>
      </x:c>
      <x:c r="F535" s="12" t="str">
        <x:v>NOT_STARTED</x:v>
      </x:c>
      <x:c r="G535" s="12" t="str">
        <x:v>T-320401, T-320402, T-320403, T-320404, T-330102</x:v>
      </x:c>
      <x:c r="H535" s="12" t="str">
        <x:v>reports/S33/release_scan.md</x:v>
      </x:c>
      <x:c r="I535" s="12" t="str">
        <x:v>ARTIFACT_REVIEW</x:v>
      </x:c>
      <x:c r="J535" s="12" t="str">
        <x:v>M</x:v>
      </x:c>
      <x:c r="K535" s="12" t="str">
        <x:v>reports/tasks/T-330103/evidence.json</x:v>
      </x:c>
      <x:c r="L535" s="12" t="str">
        <x:v>tasks/T-330103.md</x:v>
      </x:c>
      <x:c r="M535" s="12" t="str">
        <x:v>none</x:v>
      </x:c>
    </x:row>
    <x:row r="536" ht="58" customHeight="1">
      <x:c r="A536" s="12" t="str">
        <x:v>T-330104</x:v>
      </x:c>
      <x:c r="B536" s="12" t="str">
        <x:v>S33</x:v>
      </x:c>
      <x:c r="C536" s="12" t="str">
        <x:v>ST-3301</x:v>
      </x:c>
      <x:c r="D536" s="12" t="str">
        <x:v>GAMEPLAY_AGENT</x:v>
      </x:c>
      <x:c r="E536" s="12" t="str">
        <x:v>Archive reproducibility và golden save suite</x:v>
      </x:c>
      <x:c r="F536" s="12" t="str">
        <x:v>NOT_STARTED</x:v>
      </x:c>
      <x:c r="G536" s="12" t="str">
        <x:v>T-320401, T-320402, T-320403, T-320404, T-330103</x:v>
      </x:c>
      <x:c r="H536" s="12" t="str">
        <x:v>archives/RC1/manifest.json</x:v>
      </x:c>
      <x:c r="I536" s="12" t="str">
        <x:v>ARTIFACT_REVIEW, ENGINE_TEST</x:v>
      </x:c>
      <x:c r="J536" s="12" t="str">
        <x:v>S</x:v>
      </x:c>
      <x:c r="K536" s="12" t="str">
        <x:v>reports/tasks/T-330104/evidence.json</x:v>
      </x:c>
      <x:c r="L536" s="12" t="str">
        <x:v>tasks/T-330104.md</x:v>
      </x:c>
      <x:c r="M536" s="12" t="str">
        <x:v>none</x:v>
      </x:c>
    </x:row>
    <x:row r="537" ht="58" customHeight="1">
      <x:c r="A537" s="12" t="str">
        <x:v>T-330201</x:v>
      </x:c>
      <x:c r="B537" s="12" t="str">
        <x:v>S33</x:v>
      </x:c>
      <x:c r="C537" s="12" t="str">
        <x:v>ST-3302</x:v>
      </x:c>
      <x:c r="D537" s="12" t="str">
        <x:v>RELEASE_AGENT</x:v>
      </x:c>
      <x:c r="E537" s="12" t="str">
        <x:v>Viết support/FAQ/troubleshooting song ngữ</x:v>
      </x:c>
      <x:c r="F537" s="12" t="str">
        <x:v>NOT_STARTED</x:v>
      </x:c>
      <x:c r="G537" s="12" t="str">
        <x:v>T-330101, T-330102, T-330103, T-330104</x:v>
      </x:c>
      <x:c r="H537" s="12" t="str">
        <x:v>support/README_vi.md; README_en.md</x:v>
      </x:c>
      <x:c r="I537" s="12" t="str">
        <x:v>ARTIFACT_REVIEW</x:v>
      </x:c>
      <x:c r="J537" s="12" t="str">
        <x:v>M</x:v>
      </x:c>
      <x:c r="K537" s="12" t="str">
        <x:v>reports/tasks/T-330201/evidence.json</x:v>
      </x:c>
      <x:c r="L537" s="12" t="str">
        <x:v>tasks/T-330201.md</x:v>
      </x:c>
      <x:c r="M537" s="12" t="str">
        <x:v>none</x:v>
      </x:c>
    </x:row>
    <x:row r="538" ht="58" customHeight="1">
      <x:c r="A538" s="12" t="str">
        <x:v>T-330202</x:v>
      </x:c>
      <x:c r="B538" s="12" t="str">
        <x:v>S33</x:v>
      </x:c>
      <x:c r="C538" s="12" t="str">
        <x:v>ST-3302</x:v>
      </x:c>
      <x:c r="D538" s="12" t="str">
        <x:v>RELEASE_AGENT</x:v>
      </x:c>
      <x:c r="E538" s="12" t="str">
        <x:v>Thêm export diagnostics thủ công an toàn</x:v>
      </x:c>
      <x:c r="F538" s="12" t="str">
        <x:v>NOT_STARTED</x:v>
      </x:c>
      <x:c r="G538" s="12" t="str">
        <x:v>T-330101, T-330102, T-330103, T-330104, T-330201</x:v>
      </x:c>
      <x:c r="H538" s="12" t="str">
        <x:v>scripts/support/diagnostics_export.gd</x:v>
      </x:c>
      <x:c r="I538" s="12" t="str">
        <x:v>ARTIFACT_REVIEW</x:v>
      </x:c>
      <x:c r="J538" s="12" t="str">
        <x:v>L</x:v>
      </x:c>
      <x:c r="K538" s="12" t="str">
        <x:v>reports/tasks/T-330202/evidence.json</x:v>
      </x:c>
      <x:c r="L538" s="12" t="str">
        <x:v>tasks/T-330202.md</x:v>
      </x:c>
      <x:c r="M538" s="12" t="str">
        <x:v>none</x:v>
      </x:c>
    </x:row>
    <x:row r="539" ht="58" customHeight="1">
      <x:c r="A539" s="12" t="str">
        <x:v>T-330203</x:v>
      </x:c>
      <x:c r="B539" s="12" t="str">
        <x:v>S33</x:v>
      </x:c>
      <x:c r="C539" s="12" t="str">
        <x:v>ST-3302</x:v>
      </x:c>
      <x:c r="D539" s="12" t="str">
        <x:v>RELEASE_AGENT</x:v>
      </x:c>
      <x:c r="E539" s="12" t="str">
        <x:v>Tạo bug intake và mức ưu tiên sau phát hành</x:v>
      </x:c>
      <x:c r="F539" s="12" t="str">
        <x:v>NOT_STARTED</x:v>
      </x:c>
      <x:c r="G539" s="12" t="str">
        <x:v>T-330101, T-330102, T-330103, T-330104, T-330202</x:v>
      </x:c>
      <x:c r="H539" s="12" t="str">
        <x:v>support/triage_runbook.md</x:v>
      </x:c>
      <x:c r="I539" s="12" t="str">
        <x:v>ARTIFACT_REVIEW</x:v>
      </x:c>
      <x:c r="J539" s="12" t="str">
        <x:v>M</x:v>
      </x:c>
      <x:c r="K539" s="12" t="str">
        <x:v>reports/tasks/T-330203/evidence.json</x:v>
      </x:c>
      <x:c r="L539" s="12" t="str">
        <x:v>tasks/T-330203.md</x:v>
      </x:c>
      <x:c r="M539" s="12" t="str">
        <x:v>none</x:v>
      </x:c>
    </x:row>
    <x:row r="540" ht="58" customHeight="1">
      <x:c r="A540" s="12" t="str">
        <x:v>T-330204</x:v>
      </x:c>
      <x:c r="B540" s="12" t="str">
        <x:v>S33</x:v>
      </x:c>
      <x:c r="C540" s="12" t="str">
        <x:v>ST-3302</x:v>
      </x:c>
      <x:c r="D540" s="12" t="str">
        <x:v>QA_AGENT</x:v>
      </x:c>
      <x:c r="E540" s="12" t="str">
        <x:v>Test một báo lỗi giả lập từ đầu đến retest</x:v>
      </x:c>
      <x:c r="F540" s="12" t="str">
        <x:v>NOT_STARTED</x:v>
      </x:c>
      <x:c r="G540" s="12" t="str">
        <x:v>T-330101, T-330102, T-330103, T-330104, T-330203</x:v>
      </x:c>
      <x:c r="H540" s="12" t="str">
        <x:v>reports/S33/support_drill.md</x:v>
      </x:c>
      <x:c r="I540" s="12" t="str">
        <x:v>ARTIFACT_REVIEW, ENGINE_TEST, RENDERED_RUNTIME</x:v>
      </x:c>
      <x:c r="J540" s="12" t="str">
        <x:v>S</x:v>
      </x:c>
      <x:c r="K540" s="12" t="str">
        <x:v>reports/tasks/T-330204/evidence.json</x:v>
      </x:c>
      <x:c r="L540" s="12" t="str">
        <x:v>tasks/T-330204.md</x:v>
      </x:c>
      <x:c r="M540" s="12" t="str">
        <x:v>none</x:v>
      </x:c>
    </x:row>
    <x:row r="541" ht="58" customHeight="1">
      <x:c r="A541" s="12" t="str">
        <x:v>T-330301</x:v>
      </x:c>
      <x:c r="B541" s="12" t="str">
        <x:v>S33</x:v>
      </x:c>
      <x:c r="C541" s="12" t="str">
        <x:v>ST-3303</x:v>
      </x:c>
      <x:c r="D541" s="12" t="str">
        <x:v>RELEASE_AGENT</x:v>
      </x:c>
      <x:c r="E541" s="12" t="str">
        <x:v>Viết rollback/hotfix runbook và ma trận save</x:v>
      </x:c>
      <x:c r="F541" s="12" t="str">
        <x:v>NOT_STARTED</x:v>
      </x:c>
      <x:c r="G541" s="12" t="str">
        <x:v>T-330201, T-330202, T-330203, T-330204</x:v>
      </x:c>
      <x:c r="H541" s="12" t="str">
        <x:v>docs/release/rollback.md</x:v>
      </x:c>
      <x:c r="I541" s="12" t="str">
        <x:v>ARTIFACT_REVIEW</x:v>
      </x:c>
      <x:c r="J541" s="12" t="str">
        <x:v>M</x:v>
      </x:c>
      <x:c r="K541" s="12" t="str">
        <x:v>reports/tasks/T-330301/evidence.json</x:v>
      </x:c>
      <x:c r="L541" s="12" t="str">
        <x:v>tasks/T-330301.md</x:v>
      </x:c>
      <x:c r="M541" s="12" t="str">
        <x:v>none</x:v>
      </x:c>
    </x:row>
    <x:row r="542" ht="58" customHeight="1">
      <x:c r="A542" s="12" t="str">
        <x:v>T-330302</x:v>
      </x:c>
      <x:c r="B542" s="12" t="str">
        <x:v>S33</x:v>
      </x:c>
      <x:c r="C542" s="12" t="str">
        <x:v>ST-3303</x:v>
      </x:c>
      <x:c r="D542" s="12" t="str">
        <x:v>GAMEPLAY_AGENT</x:v>
      </x:c>
      <x:c r="E542" s="12" t="str">
        <x:v>Tạo patch candidate mô phỏng một fix nhỏ</x:v>
      </x:c>
      <x:c r="F542" s="12" t="str">
        <x:v>NOT_STARTED</x:v>
      </x:c>
      <x:c r="G542" s="12" t="str">
        <x:v>T-330201, T-330202, T-330203, T-330204, T-330301</x:v>
      </x:c>
      <x:c r="H542" s="12" t="str">
        <x:v>build_manifest/patch_drill.json</x:v>
      </x:c>
      <x:c r="I542" s="12" t="str">
        <x:v>ARTIFACT_REVIEW, ENGINE_TEST</x:v>
      </x:c>
      <x:c r="J542" s="12" t="str">
        <x:v>L</x:v>
      </x:c>
      <x:c r="K542" s="12" t="str">
        <x:v>reports/tasks/T-330302/evidence.json</x:v>
      </x:c>
      <x:c r="L542" s="12" t="str">
        <x:v>tasks/T-330302.md</x:v>
      </x:c>
      <x:c r="M542" s="12" t="str">
        <x:v>none</x:v>
      </x:c>
    </x:row>
    <x:row r="543" ht="58" customHeight="1">
      <x:c r="A543" s="12" t="str">
        <x:v>T-330303</x:v>
      </x:c>
      <x:c r="B543" s="12" t="str">
        <x:v>S33</x:v>
      </x:c>
      <x:c r="C543" s="12" t="str">
        <x:v>ST-3303</x:v>
      </x:c>
      <x:c r="D543" s="12" t="str">
        <x:v>GAMEPLAY_AGENT</x:v>
      </x:c>
      <x:c r="E543" s="12" t="str">
        <x:v>Diễn tập update/rollback trên nhánh riêng</x:v>
      </x:c>
      <x:c r="F543" s="12" t="str">
        <x:v>NOT_STARTED</x:v>
      </x:c>
      <x:c r="G543" s="12" t="str">
        <x:v>T-330201, T-330202, T-330203, T-330204, T-330302</x:v>
      </x:c>
      <x:c r="H543" s="12" t="str">
        <x:v>reports/S33/rollback_drill.md</x:v>
      </x:c>
      <x:c r="I543" s="12" t="str">
        <x:v>ARTIFACT_REVIEW, ENGINE_TEST</x:v>
      </x:c>
      <x:c r="J543" s="12" t="str">
        <x:v>M</x:v>
      </x:c>
      <x:c r="K543" s="12" t="str">
        <x:v>reports/tasks/T-330303/evidence.json</x:v>
      </x:c>
      <x:c r="L543" s="12" t="str">
        <x:v>tasks/T-330303.md</x:v>
      </x:c>
      <x:c r="M543" s="12" t="str">
        <x:v>none</x:v>
      </x:c>
    </x:row>
    <x:row r="544" ht="58" customHeight="1">
      <x:c r="A544" s="12" t="str">
        <x:v>T-330304</x:v>
      </x:c>
      <x:c r="B544" s="12" t="str">
        <x:v>S33</x:v>
      </x:c>
      <x:c r="C544" s="12" t="str">
        <x:v>ST-3303</x:v>
      </x:c>
      <x:c r="D544" s="12" t="str">
        <x:v>RELEASE_AGENT</x:v>
      </x:c>
      <x:c r="E544" s="12" t="str">
        <x:v>Xác minh quyền publish/rollback và khóa secrets</x:v>
      </x:c>
      <x:c r="F544" s="12" t="str">
        <x:v>NOT_STARTED</x:v>
      </x:c>
      <x:c r="G544" s="12" t="str">
        <x:v>T-330201, T-330202, T-330203, T-330204, T-330303</x:v>
      </x:c>
      <x:c r="H544" s="12" t="str">
        <x:v>docs/release/permissions.md</x:v>
      </x:c>
      <x:c r="I544" s="12" t="str">
        <x:v>ARTIFACT_REVIEW, EXTERNAL_RESULT</x:v>
      </x:c>
      <x:c r="J544" s="12" t="str">
        <x:v>S</x:v>
      </x:c>
      <x:c r="K544" s="12" t="str">
        <x:v>reports/tasks/T-330304/evidence.json</x:v>
      </x:c>
      <x:c r="L544" s="12" t="str">
        <x:v>tasks/T-330304.md</x:v>
      </x:c>
      <x:c r="M544" s="12" t="str">
        <x:v>explicit_owner_authorization</x:v>
      </x:c>
    </x:row>
    <x:row r="545" ht="58" customHeight="1">
      <x:c r="A545" s="12" t="str">
        <x:v>T-330401</x:v>
      </x:c>
      <x:c r="B545" s="12" t="str">
        <x:v>S33</x:v>
      </x:c>
      <x:c r="C545" s="12" t="str">
        <x:v>ST-3304</x:v>
      </x:c>
      <x:c r="D545" s="12" t="str">
        <x:v>QA_AGENT</x:v>
      </x:c>
      <x:c r="E545" s="12" t="str">
        <x:v>Chạy release smoke và 3 ending fixtures</x:v>
      </x:c>
      <x:c r="F545" s="12" t="str">
        <x:v>NOT_STARTED</x:v>
      </x:c>
      <x:c r="G545" s="12" t="str">
        <x:v>T-330301, T-330302, T-330303, T-330304</x:v>
      </x:c>
      <x:c r="H545" s="12" t="str">
        <x:v>reports/S33/RC1_smoke.csv</x:v>
      </x:c>
      <x:c r="I545" s="12" t="str">
        <x:v>ARTIFACT_REVIEW, ENGINE_TEST, RENDERED_RUNTIME</x:v>
      </x:c>
      <x:c r="J545" s="12" t="str">
        <x:v>L</x:v>
      </x:c>
      <x:c r="K545" s="12" t="str">
        <x:v>reports/tasks/T-330401/evidence.json</x:v>
      </x:c>
      <x:c r="L545" s="12" t="str">
        <x:v>tasks/T-330401.md</x:v>
      </x:c>
      <x:c r="M545" s="12" t="str">
        <x:v>none</x:v>
      </x:c>
    </x:row>
    <x:row r="546" ht="58" customHeight="1">
      <x:c r="A546" s="12" t="str">
        <x:v>T-330402</x:v>
      </x:c>
      <x:c r="B546" s="12" t="str">
        <x:v>S33</x:v>
      </x:c>
      <x:c r="C546" s="12" t="str">
        <x:v>ST-3304</x:v>
      </x:c>
      <x:c r="D546" s="12" t="str">
        <x:v>QA_AGENT</x:v>
      </x:c>
      <x:c r="E546" s="12" t="str">
        <x:v>Retest compatibility/input/large-text routes</x:v>
      </x:c>
      <x:c r="F546" s="12" t="str">
        <x:v>NOT_STARTED</x:v>
      </x:c>
      <x:c r="G546" s="12" t="str">
        <x:v>T-330301, T-330302, T-330303, T-330304, T-330401</x:v>
      </x:c>
      <x:c r="H546" s="12" t="str">
        <x:v>reports/S33/RC1_compatibility.csv</x:v>
      </x:c>
      <x:c r="I546" s="12" t="str">
        <x:v>ARTIFACT_REVIEW, ENGINE_TEST, RENDERED_RUNTIME</x:v>
      </x:c>
      <x:c r="J546" s="12" t="str">
        <x:v>L</x:v>
      </x:c>
      <x:c r="K546" s="12" t="str">
        <x:v>reports/tasks/T-330402/evidence.json</x:v>
      </x:c>
      <x:c r="L546" s="12" t="str">
        <x:v>tasks/T-330402.md</x:v>
      </x:c>
      <x:c r="M546" s="12" t="str">
        <x:v>none</x:v>
      </x:c>
    </x:row>
    <x:row r="547" ht="58" customHeight="1">
      <x:c r="A547" s="12" t="str">
        <x:v>T-330403</x:v>
      </x:c>
      <x:c r="B547" s="12" t="str">
        <x:v>S33</x:v>
      </x:c>
      <x:c r="C547" s="12" t="str">
        <x:v>ST-3304</x:v>
      </x:c>
      <x:c r="D547" s="12" t="str">
        <x:v>RELEASE_AGENT</x:v>
      </x:c>
      <x:c r="E547" s="12" t="str">
        <x:v>Sửa release blockers hoặc phản hồi review thực tế</x:v>
      </x:c>
      <x:c r="F547" s="12" t="str">
        <x:v>NOT_STARTED</x:v>
      </x:c>
      <x:c r="G547" s="12" t="str">
        <x:v>T-330301, T-330302, T-330303, T-330304, T-330402</x:v>
      </x:c>
      <x:c r="H547" s="12" t="str">
        <x:v>reports/S33/platform_fixes.md</x:v>
      </x:c>
      <x:c r="I547" s="12" t="str">
        <x:v>ARTIFACT_REVIEW</x:v>
      </x:c>
      <x:c r="J547" s="12" t="str">
        <x:v>L</x:v>
      </x:c>
      <x:c r="K547" s="12" t="str">
        <x:v>reports/tasks/T-330403/evidence.json</x:v>
      </x:c>
      <x:c r="L547" s="12" t="str">
        <x:v>tasks/T-330403.md</x:v>
      </x:c>
      <x:c r="M547" s="12" t="str">
        <x:v>none</x:v>
      </x:c>
    </x:row>
    <x:row r="548" ht="58" customHeight="1">
      <x:c r="A548" s="12" t="str">
        <x:v>T-330404</x:v>
      </x:c>
      <x:c r="B548" s="12" t="str">
        <x:v>S33</x:v>
      </x:c>
      <x:c r="C548" s="12" t="str">
        <x:v>ST-3304</x:v>
      </x:c>
      <x:c r="D548" s="12" t="str">
        <x:v>ORCHESTRATOR</x:v>
      </x:c>
      <x:c r="E548" s="12" t="str">
        <x:v>Chốt RC2 delta và ngưỡng dùng RS04</x:v>
      </x:c>
      <x:c r="F548" s="12" t="str">
        <x:v>NOT_STARTED</x:v>
      </x:c>
      <x:c r="G548" s="12" t="str">
        <x:v>T-330301, T-330302, T-330303, T-330304, T-330403</x:v>
      </x:c>
      <x:c r="H548" s="12" t="str">
        <x:v>reports/S33/review.md</x:v>
      </x:c>
      <x:c r="I548" s="12" t="str">
        <x:v>ARTIFACT_REVIEW</x:v>
      </x:c>
      <x:c r="J548" s="12" t="str">
        <x:v>S</x:v>
      </x:c>
      <x:c r="K548" s="12" t="str">
        <x:v>reports/tasks/T-330404/evidence.json</x:v>
      </x:c>
      <x:c r="L548" s="12" t="str">
        <x:v>tasks/T-330404.md</x:v>
      </x:c>
      <x:c r="M548" s="12" t="str">
        <x:v>none</x:v>
      </x:c>
    </x:row>
    <x:row r="549" ht="58" customHeight="1">
      <x:c r="A549" s="12" t="str">
        <x:v>T-340101</x:v>
      </x:c>
      <x:c r="B549" s="12" t="str">
        <x:v>S34</x:v>
      </x:c>
      <x:c r="C549" s="12" t="str">
        <x:v>ST-3401</x:v>
      </x:c>
      <x:c r="D549" s="12" t="str">
        <x:v>QA_AGENT</x:v>
      </x:c>
      <x:c r="E549" s="12" t="str">
        <x:v>Chạy final RC regression critical path</x:v>
      </x:c>
      <x:c r="F549" s="12" t="str">
        <x:v>NOT_STARTED</x:v>
      </x:c>
      <x:c r="G549" s="12" t="str">
        <x:v>T-330401, T-330402, T-330403, T-330404</x:v>
      </x:c>
      <x:c r="H549" s="12" t="str">
        <x:v>reports/S34/final_regression.csv</x:v>
      </x:c>
      <x:c r="I549" s="12" t="str">
        <x:v>ARTIFACT_REVIEW, ENGINE_TEST, RENDERED_RUNTIME</x:v>
      </x:c>
      <x:c r="J549" s="12" t="str">
        <x:v>L</x:v>
      </x:c>
      <x:c r="K549" s="12" t="str">
        <x:v>reports/tasks/T-340101/evidence.json</x:v>
      </x:c>
      <x:c r="L549" s="12" t="str">
        <x:v>tasks/T-340101.md</x:v>
      </x:c>
      <x:c r="M549" s="12" t="str">
        <x:v>none</x:v>
      </x:c>
    </x:row>
    <x:row r="550" ht="58" customHeight="1">
      <x:c r="A550" s="12" t="str">
        <x:v>T-340102</x:v>
      </x:c>
      <x:c r="B550" s="12" t="str">
        <x:v>S34</x:v>
      </x:c>
      <x:c r="C550" s="12" t="str">
        <x:v>ST-3401</x:v>
      </x:c>
      <x:c r="D550" s="12" t="str">
        <x:v>QA_AGENT</x:v>
      </x:c>
      <x:c r="E550" s="12" t="str">
        <x:v>Chạy save/ending/input/accessibility matrix cuối</x:v>
      </x:c>
      <x:c r="F550" s="12" t="str">
        <x:v>NOT_STARTED</x:v>
      </x:c>
      <x:c r="G550" s="12" t="str">
        <x:v>T-330401, T-330402, T-330403, T-330404, T-340101</x:v>
      </x:c>
      <x:c r="H550" s="12" t="str">
        <x:v>reports/S34/final_matrix.csv</x:v>
      </x:c>
      <x:c r="I550" s="12" t="str">
        <x:v>ARTIFACT_REVIEW, ENGINE_TEST, RENDERED_RUNTIME</x:v>
      </x:c>
      <x:c r="J550" s="12" t="str">
        <x:v>L</x:v>
      </x:c>
      <x:c r="K550" s="12" t="str">
        <x:v>reports/tasks/T-340102/evidence.json</x:v>
      </x:c>
      <x:c r="L550" s="12" t="str">
        <x:v>tasks/T-340102.md</x:v>
      </x:c>
      <x:c r="M550" s="12" t="str">
        <x:v>none</x:v>
      </x:c>
    </x:row>
    <x:row r="551" ht="58" customHeight="1">
      <x:c r="A551" s="12" t="str">
        <x:v>T-340103</x:v>
      </x:c>
      <x:c r="B551" s="12" t="str">
        <x:v>S34</x:v>
      </x:c>
      <x:c r="C551" s="12" t="str">
        <x:v>ST-3401</x:v>
      </x:c>
      <x:c r="D551" s="12" t="str">
        <x:v>RELEASE_AGENT</x:v>
      </x:c>
      <x:c r="E551" s="12" t="str">
        <x:v>Sửa chỉ lỗi release-blocking và retest delta</x:v>
      </x:c>
      <x:c r="F551" s="12" t="str">
        <x:v>NOT_STARTED</x:v>
      </x:c>
      <x:c r="G551" s="12" t="str">
        <x:v>T-330401, T-330402, T-330403, T-330404, T-340102</x:v>
      </x:c>
      <x:c r="H551" s="12" t="str">
        <x:v>reports/S34/delta_retest.md</x:v>
      </x:c>
      <x:c r="I551" s="12" t="str">
        <x:v>ARTIFACT_REVIEW</x:v>
      </x:c>
      <x:c r="J551" s="12" t="str">
        <x:v>L</x:v>
      </x:c>
      <x:c r="K551" s="12" t="str">
        <x:v>reports/tasks/T-340103/evidence.json</x:v>
      </x:c>
      <x:c r="L551" s="12" t="str">
        <x:v>tasks/T-340103.md</x:v>
      </x:c>
      <x:c r="M551" s="12" t="str">
        <x:v>none</x:v>
      </x:c>
    </x:row>
    <x:row r="552" ht="58" customHeight="1">
      <x:c r="A552" s="12" t="str">
        <x:v>T-340104</x:v>
      </x:c>
      <x:c r="B552" s="12" t="str">
        <x:v>S34</x:v>
      </x:c>
      <x:c r="C552" s="12" t="str">
        <x:v>ST-3401</x:v>
      </x:c>
      <x:c r="D552" s="12" t="str">
        <x:v>GAMEPLAY_AGENT</x:v>
      </x:c>
      <x:c r="E552" s="12" t="str">
        <x:v>Khóa build hash và version 1.0.0 candidate</x:v>
      </x:c>
      <x:c r="F552" s="12" t="str">
        <x:v>NOT_STARTED</x:v>
      </x:c>
      <x:c r="G552" s="12" t="str">
        <x:v>T-330401, T-330402, T-330403, T-330404, T-340103</x:v>
      </x:c>
      <x:c r="H552" s="12" t="str">
        <x:v>build_manifest/1.0.0_candidate.json</x:v>
      </x:c>
      <x:c r="I552" s="12" t="str">
        <x:v>ARTIFACT_REVIEW, ENGINE_TEST</x:v>
      </x:c>
      <x:c r="J552" s="12" t="str">
        <x:v>M</x:v>
      </x:c>
      <x:c r="K552" s="12" t="str">
        <x:v>reports/tasks/T-340104/evidence.json</x:v>
      </x:c>
      <x:c r="L552" s="12" t="str">
        <x:v>tasks/T-340104.md</x:v>
      </x:c>
      <x:c r="M552" s="12" t="str">
        <x:v>none</x:v>
      </x:c>
    </x:row>
    <x:row r="553" ht="58" customHeight="1">
      <x:c r="A553" s="12" t="str">
        <x:v>T-340201</x:v>
      </x:c>
      <x:c r="B553" s="12" t="str">
        <x:v>S34</x:v>
      </x:c>
      <x:c r="C553" s="12" t="str">
        <x:v>ST-3402</x:v>
      </x:c>
      <x:c r="D553" s="12" t="str">
        <x:v>RELEASE_AGENT</x:v>
      </x:c>
      <x:c r="E553" s="12" t="str">
        <x:v>Đối chiếu release prerequisites tại ngày thực hiện</x:v>
      </x:c>
      <x:c r="F553" s="12" t="str">
        <x:v>NOT_STARTED</x:v>
      </x:c>
      <x:c r="G553" s="12" t="str">
        <x:v>T-320401, T-320402, T-320403, T-320404, T-340101, T-340102, T-340103, T-340104</x:v>
      </x:c>
      <x:c r="H553" s="12" t="str">
        <x:v>reports/S34/platform_gate_status.md</x:v>
      </x:c>
      <x:c r="I553" s="12" t="str">
        <x:v>ARTIFACT_REVIEW</x:v>
      </x:c>
      <x:c r="J553" s="12" t="str">
        <x:v>M</x:v>
      </x:c>
      <x:c r="K553" s="12" t="str">
        <x:v>reports/tasks/T-340201/evidence.json</x:v>
      </x:c>
      <x:c r="L553" s="12" t="str">
        <x:v>tasks/T-340201.md</x:v>
      </x:c>
      <x:c r="M553" s="12" t="str">
        <x:v>none</x:v>
      </x:c>
    </x:row>
    <x:row r="554" ht="58" customHeight="1">
      <x:c r="A554" s="12" t="str">
        <x:v>T-340202</x:v>
      </x:c>
      <x:c r="B554" s="12" t="str">
        <x:v>S34</x:v>
      </x:c>
      <x:c r="C554" s="12" t="str">
        <x:v>ST-3402</x:v>
      </x:c>
      <x:c r="D554" s="12" t="str">
        <x:v>RELEASE_AGENT</x:v>
      </x:c>
      <x:c r="E554" s="12" t="str">
        <x:v>Chuẩn bị cấu hình thương mại và yêu cầu quyền quyết định</x:v>
      </x:c>
      <x:c r="F554" s="12" t="str">
        <x:v>NOT_STARTED</x:v>
      </x:c>
      <x:c r="G554" s="12" t="str">
        <x:v>T-320401, T-320402, T-320403, T-320404, T-340101, T-340102, T-340103, T-340104, T-340201</x:v>
      </x:c>
      <x:c r="H554" s="12" t="str">
        <x:v>docs/release/commercial_signoff.md</x:v>
      </x:c>
      <x:c r="I554" s="12" t="str">
        <x:v>ARTIFACT_REVIEW, EXTERNAL_RESULT</x:v>
      </x:c>
      <x:c r="J554" s="12" t="str">
        <x:v>M</x:v>
      </x:c>
      <x:c r="K554" s="12" t="str">
        <x:v>reports/tasks/T-340202/evidence.json</x:v>
      </x:c>
      <x:c r="L554" s="12" t="str">
        <x:v>tasks/T-340202.md</x:v>
      </x:c>
      <x:c r="M554" s="12" t="str">
        <x:v>explicit_owner_authorization</x:v>
      </x:c>
    </x:row>
    <x:row r="555" ht="58" customHeight="1">
      <x:c r="A555" s="12" t="str">
        <x:v>T-340203</x:v>
      </x:c>
      <x:c r="B555" s="12" t="str">
        <x:v>S34</x:v>
      </x:c>
      <x:c r="C555" s="12" t="str">
        <x:v>ST-3402</x:v>
      </x:c>
      <x:c r="D555" s="12" t="str">
        <x:v>RELEASE_AGENT</x:v>
      </x:c>
      <x:c r="E555" s="12" t="str">
        <x:v>Đối chiếu store/build/support/credits cuối</x:v>
      </x:c>
      <x:c r="F555" s="12" t="str">
        <x:v>NOT_STARTED</x:v>
      </x:c>
      <x:c r="G555" s="12" t="str">
        <x:v>T-320401, T-320402, T-320403, T-320404, T-340101, T-340102, T-340103, T-340104, T-340202</x:v>
      </x:c>
      <x:c r="H555" s="12" t="str">
        <x:v>reports/S34/store_final_audit.md</x:v>
      </x:c>
      <x:c r="I555" s="12" t="str">
        <x:v>ARTIFACT_REVIEW</x:v>
      </x:c>
      <x:c r="J555" s="12" t="str">
        <x:v>M</x:v>
      </x:c>
      <x:c r="K555" s="12" t="str">
        <x:v>reports/tasks/T-340203/evidence.json</x:v>
      </x:c>
      <x:c r="L555" s="12" t="str">
        <x:v>tasks/T-340203.md</x:v>
      </x:c>
      <x:c r="M555" s="12" t="str">
        <x:v>none</x:v>
      </x:c>
    </x:row>
    <x:row r="556" ht="58" customHeight="1">
      <x:c r="A556" s="12" t="str">
        <x:v>T-340204</x:v>
      </x:c>
      <x:c r="B556" s="12" t="str">
        <x:v>S34</x:v>
      </x:c>
      <x:c r="C556" s="12" t="str">
        <x:v>ST-3402</x:v>
      </x:c>
      <x:c r="D556" s="12" t="str">
        <x:v>RELEASE_AGENT</x:v>
      </x:c>
      <x:c r="E556" s="12" t="str">
        <x:v>Ghi bằng chứng approval và người có quyền</x:v>
      </x:c>
      <x:c r="F556" s="12" t="str">
        <x:v>NOT_STARTED</x:v>
      </x:c>
      <x:c r="G556" s="12" t="str">
        <x:v>T-320401, T-320402, T-320403, T-320404, T-340101, T-340102, T-340103, T-340104, T-340203</x:v>
      </x:c>
      <x:c r="H556" s="12" t="str">
        <x:v>docs/release/platform_approvals.md</x:v>
      </x:c>
      <x:c r="I556" s="12" t="str">
        <x:v>ARTIFACT_REVIEW, EXTERNAL_RESULT</x:v>
      </x:c>
      <x:c r="J556" s="12" t="str">
        <x:v>S</x:v>
      </x:c>
      <x:c r="K556" s="12" t="str">
        <x:v>reports/tasks/T-340204/evidence.json</x:v>
      </x:c>
      <x:c r="L556" s="12" t="str">
        <x:v>tasks/T-340204.md</x:v>
      </x:c>
      <x:c r="M556" s="12" t="str">
        <x:v>explicit_owner_authorization</x:v>
      </x:c>
    </x:row>
    <x:row r="557" ht="58" customHeight="1">
      <x:c r="A557" s="12" t="str">
        <x:v>T-340301</x:v>
      </x:c>
      <x:c r="B557" s="12" t="str">
        <x:v>S34</x:v>
      </x:c>
      <x:c r="C557" s="12" t="str">
        <x:v>ST-3403</x:v>
      </x:c>
      <x:c r="D557" s="12" t="str">
        <x:v>RELEASE_AGENT</x:v>
      </x:c>
      <x:c r="E557" s="12" t="str">
        <x:v>Chốt launch checklist và no-go triggers</x:v>
      </x:c>
      <x:c r="F557" s="12" t="str">
        <x:v>NOT_STARTED</x:v>
      </x:c>
      <x:c r="G557" s="12" t="str">
        <x:v>T-340201, T-340202, T-340203, T-340204</x:v>
      </x:c>
      <x:c r="H557" s="12" t="str">
        <x:v>docs/release/launch_runbook.md</x:v>
      </x:c>
      <x:c r="I557" s="12" t="str">
        <x:v>ARTIFACT_REVIEW</x:v>
      </x:c>
      <x:c r="J557" s="12" t="str">
        <x:v>M</x:v>
      </x:c>
      <x:c r="K557" s="12" t="str">
        <x:v>reports/tasks/T-340301/evidence.json</x:v>
      </x:c>
      <x:c r="L557" s="12" t="str">
        <x:v>tasks/T-340301.md</x:v>
      </x:c>
      <x:c r="M557" s="12" t="str">
        <x:v>none</x:v>
      </x:c>
    </x:row>
    <x:row r="558" ht="58" customHeight="1">
      <x:c r="A558" s="12" t="str">
        <x:v>T-340302</x:v>
      </x:c>
      <x:c r="B558" s="12" t="str">
        <x:v>S34</x:v>
      </x:c>
      <x:c r="C558" s="12" t="str">
        <x:v>ST-3403</x:v>
      </x:c>
      <x:c r="D558" s="12" t="str">
        <x:v>RELEASE_AGENT</x:v>
      </x:c>
      <x:c r="E558" s="12" t="str">
        <x:v>Chuẩn bị announcement, FAQ và known issues</x:v>
      </x:c>
      <x:c r="F558" s="12" t="str">
        <x:v>NOT_STARTED</x:v>
      </x:c>
      <x:c r="G558" s="12" t="str">
        <x:v>T-340201, T-340202, T-340203, T-340204, T-340301</x:v>
      </x:c>
      <x:c r="H558" s="12" t="str">
        <x:v>marketing/launch_messages.md</x:v>
      </x:c>
      <x:c r="I558" s="12" t="str">
        <x:v>ARTIFACT_REVIEW</x:v>
      </x:c>
      <x:c r="J558" s="12" t="str">
        <x:v>M</x:v>
      </x:c>
      <x:c r="K558" s="12" t="str">
        <x:v>reports/tasks/T-340302/evidence.json</x:v>
      </x:c>
      <x:c r="L558" s="12" t="str">
        <x:v>tasks/T-340302.md</x:v>
      </x:c>
      <x:c r="M558" s="12" t="str">
        <x:v>none</x:v>
      </x:c>
    </x:row>
    <x:row r="559" ht="58" customHeight="1">
      <x:c r="A559" s="12" t="str">
        <x:v>T-340303</x:v>
      </x:c>
      <x:c r="B559" s="12" t="str">
        <x:v>S34</x:v>
      </x:c>
      <x:c r="C559" s="12" t="str">
        <x:v>ST-3403</x:v>
      </x:c>
      <x:c r="D559" s="12" t="str">
        <x:v>QA_AGENT</x:v>
      </x:c>
      <x:c r="E559" s="12" t="str">
        <x:v>Dry-run trên test branch và kiểm tra backup</x:v>
      </x:c>
      <x:c r="F559" s="12" t="str">
        <x:v>NOT_STARTED</x:v>
      </x:c>
      <x:c r="G559" s="12" t="str">
        <x:v>T-340201, T-340202, T-340203, T-340204, T-340302</x:v>
      </x:c>
      <x:c r="H559" s="12" t="str">
        <x:v>reports/S34/launch_dry_run.md</x:v>
      </x:c>
      <x:c r="I559" s="12" t="str">
        <x:v>ARTIFACT_REVIEW, ENGINE_TEST, RENDERED_RUNTIME</x:v>
      </x:c>
      <x:c r="J559" s="12" t="str">
        <x:v>M</x:v>
      </x:c>
      <x:c r="K559" s="12" t="str">
        <x:v>reports/tasks/T-340303/evidence.json</x:v>
      </x:c>
      <x:c r="L559" s="12" t="str">
        <x:v>tasks/T-340303.md</x:v>
      </x:c>
      <x:c r="M559" s="12" t="str">
        <x:v>none</x:v>
      </x:c>
    </x:row>
    <x:row r="560" ht="58" customHeight="1">
      <x:c r="A560" s="12" t="str">
        <x:v>T-340304</x:v>
      </x:c>
      <x:c r="B560" s="12" t="str">
        <x:v>S34</x:v>
      </x:c>
      <x:c r="C560" s="12" t="str">
        <x:v>ST-3403</x:v>
      </x:c>
      <x:c r="D560" s="12" t="str">
        <x:v>RELEASE_AGENT</x:v>
      </x:c>
      <x:c r="E560" s="12" t="str">
        <x:v>Thiết lập intake có thể chạy lại theo từng phiên agent</x:v>
      </x:c>
      <x:c r="F560" s="12" t="str">
        <x:v>NOT_STARTED</x:v>
      </x:c>
      <x:c r="G560" s="12" t="str">
        <x:v>T-340201, T-340202, T-340203, T-340204, T-340303</x:v>
      </x:c>
      <x:c r="H560" s="12" t="str">
        <x:v>support/intake_runbook.md</x:v>
      </x:c>
      <x:c r="I560" s="12" t="str">
        <x:v>ARTIFACT_REVIEW</x:v>
      </x:c>
      <x:c r="J560" s="12" t="str">
        <x:v>S</x:v>
      </x:c>
      <x:c r="K560" s="12" t="str">
        <x:v>reports/tasks/T-340304/evidence.json</x:v>
      </x:c>
      <x:c r="L560" s="12" t="str">
        <x:v>tasks/T-340304.md</x:v>
      </x:c>
      <x:c r="M560" s="12" t="str">
        <x:v>none</x:v>
      </x:c>
    </x:row>
    <x:row r="561" ht="58" customHeight="1">
      <x:c r="A561" s="12" t="str">
        <x:v>T-340401</x:v>
      </x:c>
      <x:c r="B561" s="12" t="str">
        <x:v>S34</x:v>
      </x:c>
      <x:c r="C561" s="12" t="str">
        <x:v>ST-3404</x:v>
      </x:c>
      <x:c r="D561" s="12" t="str">
        <x:v>RELEASE_AGENT</x:v>
      </x:c>
      <x:c r="E561" s="12" t="str">
        <x:v>Tổng hợp requirements/gates/risks final</x:v>
      </x:c>
      <x:c r="F561" s="12" t="str">
        <x:v>NOT_STARTED</x:v>
      </x:c>
      <x:c r="G561" s="12" t="str">
        <x:v>T-340301, T-340302, T-340303, T-340304</x:v>
      </x:c>
      <x:c r="H561" s="12" t="str">
        <x:v>reports/S34/release_readiness.md</x:v>
      </x:c>
      <x:c r="I561" s="12" t="str">
        <x:v>ARTIFACT_REVIEW</x:v>
      </x:c>
      <x:c r="J561" s="12" t="str">
        <x:v>L</x:v>
      </x:c>
      <x:c r="K561" s="12" t="str">
        <x:v>reports/tasks/T-340401/evidence.json</x:v>
      </x:c>
      <x:c r="L561" s="12" t="str">
        <x:v>tasks/T-340401.md</x:v>
      </x:c>
      <x:c r="M561" s="12" t="str">
        <x:v>none</x:v>
      </x:c>
    </x:row>
    <x:row r="562" ht="58" customHeight="1">
      <x:c r="A562" s="12" t="str">
        <x:v>T-340402</x:v>
      </x:c>
      <x:c r="B562" s="12" t="str">
        <x:v>S34</x:v>
      </x:c>
      <x:c r="C562" s="12" t="str">
        <x:v>ST-3404</x:v>
      </x:c>
      <x:c r="D562" s="12" t="str">
        <x:v>ORCHESTRATOR</x:v>
      </x:c>
      <x:c r="E562" s="12" t="str">
        <x:v>Review known issues và residual risk</x:v>
      </x:c>
      <x:c r="F562" s="12" t="str">
        <x:v>NOT_STARTED</x:v>
      </x:c>
      <x:c r="G562" s="12" t="str">
        <x:v>T-340301, T-340302, T-340303, T-340304, T-340401</x:v>
      </x:c>
      <x:c r="H562" s="12" t="str">
        <x:v>reports/S34/risk_acceptance.md</x:v>
      </x:c>
      <x:c r="I562" s="12" t="str">
        <x:v>ARTIFACT_REVIEW</x:v>
      </x:c>
      <x:c r="J562" s="12" t="str">
        <x:v>L</x:v>
      </x:c>
      <x:c r="K562" s="12" t="str">
        <x:v>reports/tasks/T-340402/evidence.json</x:v>
      </x:c>
      <x:c r="L562" s="12" t="str">
        <x:v>tasks/T-340402.md</x:v>
      </x:c>
      <x:c r="M562" s="12" t="str">
        <x:v>none</x:v>
      </x:c>
    </x:row>
    <x:row r="563" ht="58" customHeight="1">
      <x:c r="A563" s="12" t="str">
        <x:v>T-340403</x:v>
      </x:c>
      <x:c r="B563" s="12" t="str">
        <x:v>S34</x:v>
      </x:c>
      <x:c r="C563" s="12" t="str">
        <x:v>ST-3404</x:v>
      </x:c>
      <x:c r="D563" s="12" t="str">
        <x:v>ORCHESTRATOR</x:v>
      </x:c>
      <x:c r="E563" s="12" t="str">
        <x:v>Đưa kết luận technical GO và external authorization</x:v>
      </x:c>
      <x:c r="F563" s="12" t="str">
        <x:v>NOT_STARTED</x:v>
      </x:c>
      <x:c r="G563" s="12" t="str">
        <x:v>T-340301, T-340302, T-340303, T-340304, T-340402</x:v>
      </x:c>
      <x:c r="H563" s="12" t="str">
        <x:v>reports/S34/gate_G7.md</x:v>
      </x:c>
      <x:c r="I563" s="12" t="str">
        <x:v>ARTIFACT_REVIEW</x:v>
      </x:c>
      <x:c r="J563" s="12" t="str">
        <x:v>M</x:v>
      </x:c>
      <x:c r="K563" s="12" t="str">
        <x:v>reports/tasks/T-340403/evidence.json</x:v>
      </x:c>
      <x:c r="L563" s="12" t="str">
        <x:v>tasks/T-340403.md</x:v>
      </x:c>
      <x:c r="M563" s="12" t="str">
        <x:v>none</x:v>
      </x:c>
    </x:row>
    <x:row r="564" ht="58" customHeight="1">
      <x:c r="A564" s="12" t="str">
        <x:v>T-340404</x:v>
      </x:c>
      <x:c r="B564" s="12" t="str">
        <x:v>S34</x:v>
      </x:c>
      <x:c r="C564" s="12" t="str">
        <x:v>ST-3404</x:v>
      </x:c>
      <x:c r="D564" s="12" t="str">
        <x:v>RELEASE_AGENT</x:v>
      </x:c>
      <x:c r="E564" s="12" t="str">
        <x:v>Archive RC cuối và bàn giao release owner</x:v>
      </x:c>
      <x:c r="F564" s="12" t="str">
        <x:v>NOT_STARTED</x:v>
      </x:c>
      <x:c r="G564" s="12" t="str">
        <x:v>T-340301, T-340302, T-340303, T-340304, T-340403</x:v>
      </x:c>
      <x:c r="H564" s="12" t="str">
        <x:v>archives/release_ready/manifest.json</x:v>
      </x:c>
      <x:c r="I564" s="12" t="str">
        <x:v>ARTIFACT_REVIEW</x:v>
      </x:c>
      <x:c r="J564" s="12" t="str">
        <x:v>S</x:v>
      </x:c>
      <x:c r="K564" s="12" t="str">
        <x:v>reports/tasks/T-340404/evidence.json</x:v>
      </x:c>
      <x:c r="L564" s="12" t="str">
        <x:v>tasks/T-340404.md</x:v>
      </x:c>
      <x:c r="M564" s="12" t="str">
        <x:v>none</x:v>
      </x:c>
    </x:row>
    <x:row r="565" ht="58" customHeight="1">
      <x:c r="A565" s="12" t="str">
        <x:v>T-350101</x:v>
      </x:c>
      <x:c r="B565" s="12" t="str">
        <x:v>S35</x:v>
      </x:c>
      <x:c r="C565" s="12" t="str">
        <x:v>ST-3501</x:v>
      </x:c>
      <x:c r="D565" s="12" t="str">
        <x:v>GAMEPLAY_AGENT</x:v>
      </x:c>
      <x:c r="E565" s="12" t="str">
        <x:v>Kiểm tra lại Go/No-Go trước thao tác thật</x:v>
      </x:c>
      <x:c r="F565" s="12" t="str">
        <x:v>NOT_STARTED</x:v>
      </x:c>
      <x:c r="G565" s="12" t="str">
        <x:v>T-340401, T-340402, T-340403, T-340404</x:v>
      </x:c>
      <x:c r="H565" s="12" t="str">
        <x:v>reports/S35/preflight.md</x:v>
      </x:c>
      <x:c r="I565" s="12" t="str">
        <x:v>ARTIFACT_REVIEW, ENGINE_TEST</x:v>
      </x:c>
      <x:c r="J565" s="12" t="str">
        <x:v>M</x:v>
      </x:c>
      <x:c r="K565" s="12" t="str">
        <x:v>reports/tasks/T-350101/evidence.json</x:v>
      </x:c>
      <x:c r="L565" s="12" t="str">
        <x:v>tasks/T-350101.md</x:v>
      </x:c>
      <x:c r="M565" s="12" t="str">
        <x:v>none</x:v>
      </x:c>
    </x:row>
    <x:row r="566" ht="58" customHeight="1">
      <x:c r="A566" s="12" t="str">
        <x:v>T-350102</x:v>
      </x:c>
      <x:c r="B566" s="12" t="str">
        <x:v>S35</x:v>
      </x:c>
      <x:c r="C566" s="12" t="str">
        <x:v>ST-3501</x:v>
      </x:c>
      <x:c r="D566" s="12" t="str">
        <x:v>RELEASE_AGENT</x:v>
      </x:c>
      <x:c r="E566" s="12" t="str">
        <x:v>Thực hiện public release khi có ủy quyền hợp lệ</x:v>
      </x:c>
      <x:c r="F566" s="12" t="str">
        <x:v>NOT_STARTED</x:v>
      </x:c>
      <x:c r="G566" s="12" t="str">
        <x:v>T-340401, T-340402, T-340403, T-340404, T-350101</x:v>
      </x:c>
      <x:c r="H566" s="12" t="str">
        <x:v>reports/S35/release_action.md</x:v>
      </x:c>
      <x:c r="I566" s="12" t="str">
        <x:v>ARTIFACT_REVIEW, EXTERNAL_RESULT</x:v>
      </x:c>
      <x:c r="J566" s="12" t="str">
        <x:v>M</x:v>
      </x:c>
      <x:c r="K566" s="12" t="str">
        <x:v>reports/tasks/T-350102/evidence.json</x:v>
      </x:c>
      <x:c r="L566" s="12" t="str">
        <x:v>tasks/T-350102.md</x:v>
      </x:c>
      <x:c r="M566" s="12" t="str">
        <x:v>explicit_owner_authorization</x:v>
      </x:c>
    </x:row>
    <x:row r="567" ht="58" customHeight="1">
      <x:c r="A567" s="12" t="str">
        <x:v>T-350103</x:v>
      </x:c>
      <x:c r="B567" s="12" t="str">
        <x:v>S35</x:v>
      </x:c>
      <x:c r="C567" s="12" t="str">
        <x:v>ST-3501</x:v>
      </x:c>
      <x:c r="D567" s="12" t="str">
        <x:v>RELEASE_AGENT</x:v>
      </x:c>
      <x:c r="E567" s="12" t="str">
        <x:v>Cài public build và chạy launch smoke</x:v>
      </x:c>
      <x:c r="F567" s="12" t="str">
        <x:v>NOT_STARTED</x:v>
      </x:c>
      <x:c r="G567" s="12" t="str">
        <x:v>T-340401, T-340402, T-340403, T-340404, T-350102</x:v>
      </x:c>
      <x:c r="H567" s="12" t="str">
        <x:v>reports/S35/public_smoke.csv</x:v>
      </x:c>
      <x:c r="I567" s="12" t="str">
        <x:v>ARTIFACT_REVIEW, WINDOWS_RUNTIME</x:v>
      </x:c>
      <x:c r="J567" s="12" t="str">
        <x:v>L</x:v>
      </x:c>
      <x:c r="K567" s="12" t="str">
        <x:v>reports/tasks/T-350103/evidence.json</x:v>
      </x:c>
      <x:c r="L567" s="12" t="str">
        <x:v>tasks/T-350103.md</x:v>
      </x:c>
      <x:c r="M567" s="12" t="str">
        <x:v>none</x:v>
      </x:c>
    </x:row>
    <x:row r="568" ht="58" customHeight="1">
      <x:c r="A568" s="12" t="str">
        <x:v>T-350104</x:v>
      </x:c>
      <x:c r="B568" s="12" t="str">
        <x:v>S35</x:v>
      </x:c>
      <x:c r="C568" s="12" t="str">
        <x:v>ST-3501</x:v>
      </x:c>
      <x:c r="D568" s="12" t="str">
        <x:v>RELEASE_AGENT</x:v>
      </x:c>
      <x:c r="E568" s="12" t="str">
        <x:v>Công bố notes/support theo bản đã phát hành</x:v>
      </x:c>
      <x:c r="F568" s="12" t="str">
        <x:v>NOT_STARTED</x:v>
      </x:c>
      <x:c r="G568" s="12" t="str">
        <x:v>T-340401, T-340402, T-340403, T-340404, T-350103</x:v>
      </x:c>
      <x:c r="H568" s="12" t="str">
        <x:v>marketing/launch_notes_v1.md</x:v>
      </x:c>
      <x:c r="I568" s="12" t="str">
        <x:v>ARTIFACT_REVIEW, EXTERNAL_RESULT</x:v>
      </x:c>
      <x:c r="J568" s="12" t="str">
        <x:v>S</x:v>
      </x:c>
      <x:c r="K568" s="12" t="str">
        <x:v>reports/tasks/T-350104/evidence.json</x:v>
      </x:c>
      <x:c r="L568" s="12" t="str">
        <x:v>tasks/T-350104.md</x:v>
      </x:c>
      <x:c r="M568" s="12" t="str">
        <x:v>explicit_owner_authorization</x:v>
      </x:c>
    </x:row>
    <x:row r="569" ht="58" customHeight="1">
      <x:c r="A569" s="12" t="str">
        <x:v>T-350201</x:v>
      </x:c>
      <x:c r="B569" s="12" t="str">
        <x:v>S35</x:v>
      </x:c>
      <x:c r="C569" s="12" t="str">
        <x:v>ST-3502</x:v>
      </x:c>
      <x:c r="D569" s="12" t="str">
        <x:v>RELEASE_AGENT</x:v>
      </x:c>
      <x:c r="E569" s="12" t="str">
        <x:v>Mở intake và kiểm tra kênh support</x:v>
      </x:c>
      <x:c r="F569" s="12" t="str">
        <x:v>NOT_STARTED</x:v>
      </x:c>
      <x:c r="G569" s="12" t="str">
        <x:v>T-350101, T-350102, T-350103, T-350104</x:v>
      </x:c>
      <x:c r="H569" s="12" t="str">
        <x:v>support/launch_intake.csv</x:v>
      </x:c>
      <x:c r="I569" s="12" t="str">
        <x:v>ARTIFACT_REVIEW</x:v>
      </x:c>
      <x:c r="J569" s="12" t="str">
        <x:v>M</x:v>
      </x:c>
      <x:c r="K569" s="12" t="str">
        <x:v>reports/tasks/T-350201/evidence.json</x:v>
      </x:c>
      <x:c r="L569" s="12" t="str">
        <x:v>tasks/T-350201.md</x:v>
      </x:c>
      <x:c r="M569" s="12" t="str">
        <x:v>none</x:v>
      </x:c>
    </x:row>
    <x:row r="570" ht="58" customHeight="1">
      <x:c r="A570" s="12" t="str">
        <x:v>T-350202</x:v>
      </x:c>
      <x:c r="B570" s="12" t="str">
        <x:v>S35</x:v>
      </x:c>
      <x:c r="C570" s="12" t="str">
        <x:v>ST-3502</x:v>
      </x:c>
      <x:c r="D570" s="12" t="str">
        <x:v>GAMEPLAY_AGENT</x:v>
      </x:c>
      <x:c r="E570" s="12" t="str">
        <x:v>Tái hiện nhóm lỗi ưu tiên từ report thực</x:v>
      </x:c>
      <x:c r="F570" s="12" t="str">
        <x:v>NOT_STARTED</x:v>
      </x:c>
      <x:c r="G570" s="12" t="str">
        <x:v>T-350101, T-350102, T-350103, T-350104, T-350201</x:v>
      </x:c>
      <x:c r="H570" s="12" t="str">
        <x:v>reports/S35/triage.md</x:v>
      </x:c>
      <x:c r="I570" s="12" t="str">
        <x:v>ARTIFACT_REVIEW, ENGINE_TEST</x:v>
      </x:c>
      <x:c r="J570" s="12" t="str">
        <x:v>L</x:v>
      </x:c>
      <x:c r="K570" s="12" t="str">
        <x:v>reports/tasks/T-350202/evidence.json</x:v>
      </x:c>
      <x:c r="L570" s="12" t="str">
        <x:v>tasks/T-350202.md</x:v>
      </x:c>
      <x:c r="M570" s="12" t="str">
        <x:v>none</x:v>
      </x:c>
    </x:row>
    <x:row r="571" ht="58" customHeight="1">
      <x:c r="A571" s="12" t="str">
        <x:v>T-350203</x:v>
      </x:c>
      <x:c r="B571" s="12" t="str">
        <x:v>S35</x:v>
      </x:c>
      <x:c r="C571" s="12" t="str">
        <x:v>ST-3502</x:v>
      </x:c>
      <x:c r="D571" s="12" t="str">
        <x:v>QA_AGENT</x:v>
      </x:c>
      <x:c r="E571" s="12" t="str">
        <x:v>Retest public build trên matrix chọn lọc</x:v>
      </x:c>
      <x:c r="F571" s="12" t="str">
        <x:v>NOT_STARTED</x:v>
      </x:c>
      <x:c r="G571" s="12" t="str">
        <x:v>T-350101, T-350102, T-350103, T-350104, T-350202</x:v>
      </x:c>
      <x:c r="H571" s="12" t="str">
        <x:v>reports/S35/postlaunch_QA.csv</x:v>
      </x:c>
      <x:c r="I571" s="12" t="str">
        <x:v>ARTIFACT_REVIEW, ENGINE_TEST, RENDERED_RUNTIME</x:v>
      </x:c>
      <x:c r="J571" s="12" t="str">
        <x:v>L</x:v>
      </x:c>
      <x:c r="K571" s="12" t="str">
        <x:v>reports/tasks/T-350203/evidence.json</x:v>
      </x:c>
      <x:c r="L571" s="12" t="str">
        <x:v>tasks/T-350203.md</x:v>
      </x:c>
      <x:c r="M571" s="12" t="str">
        <x:v>none</x:v>
      </x:c>
    </x:row>
    <x:row r="572" ht="58" customHeight="1">
      <x:c r="A572" s="12" t="str">
        <x:v>T-350204</x:v>
      </x:c>
      <x:c r="B572" s="12" t="str">
        <x:v>S35</x:v>
      </x:c>
      <x:c r="C572" s="12" t="str">
        <x:v>ST-3502</x:v>
      </x:c>
      <x:c r="D572" s="12" t="str">
        <x:v>RELEASE_AGENT</x:v>
      </x:c>
      <x:c r="E572" s="12" t="str">
        <x:v>Đăng known issues/FAQ delta đã duyệt</x:v>
      </x:c>
      <x:c r="F572" s="12" t="str">
        <x:v>NOT_STARTED</x:v>
      </x:c>
      <x:c r="G572" s="12" t="str">
        <x:v>T-350101, T-350102, T-350103, T-350104, T-350203</x:v>
      </x:c>
      <x:c r="H572" s="12" t="str">
        <x:v>support/known_issues.md</x:v>
      </x:c>
      <x:c r="I572" s="12" t="str">
        <x:v>ARTIFACT_REVIEW, EXTERNAL_RESULT</x:v>
      </x:c>
      <x:c r="J572" s="12" t="str">
        <x:v>S</x:v>
      </x:c>
      <x:c r="K572" s="12" t="str">
        <x:v>reports/tasks/T-350204/evidence.json</x:v>
      </x:c>
      <x:c r="L572" s="12" t="str">
        <x:v>tasks/T-350204.md</x:v>
      </x:c>
      <x:c r="M572" s="12" t="str">
        <x:v>explicit_owner_authorization</x:v>
      </x:c>
    </x:row>
    <x:row r="573" ht="58" customHeight="1">
      <x:c r="A573" s="12" t="str">
        <x:v>T-350301</x:v>
      </x:c>
      <x:c r="B573" s="12" t="str">
        <x:v>S35</x:v>
      </x:c>
      <x:c r="C573" s="12" t="str">
        <x:v>ST-3503</x:v>
      </x:c>
      <x:c r="D573" s="12" t="str">
        <x:v>GAMEPLAY_AGENT</x:v>
      </x:c>
      <x:c r="E573" s="12" t="str">
        <x:v>Chọn scope hotfix hoặc ghi No Patch Needed</x:v>
      </x:c>
      <x:c r="F573" s="12" t="str">
        <x:v>NOT_STARTED</x:v>
      </x:c>
      <x:c r="G573" s="12" t="str">
        <x:v>T-350201, T-350202, T-350203, T-350204</x:v>
      </x:c>
      <x:c r="H573" s="12" t="str">
        <x:v>reports/S35/hotfix_scope.md</x:v>
      </x:c>
      <x:c r="I573" s="12" t="str">
        <x:v>ARTIFACT_REVIEW, ENGINE_TEST</x:v>
      </x:c>
      <x:c r="J573" s="12" t="str">
        <x:v>M</x:v>
      </x:c>
      <x:c r="K573" s="12" t="str">
        <x:v>reports/tasks/T-350301/evidence.json</x:v>
      </x:c>
      <x:c r="L573" s="12" t="str">
        <x:v>tasks/T-350301.md</x:v>
      </x:c>
      <x:c r="M573" s="12" t="str">
        <x:v>none</x:v>
      </x:c>
    </x:row>
    <x:row r="574" ht="58" customHeight="1">
      <x:c r="A574" s="12" t="str">
        <x:v>T-350302</x:v>
      </x:c>
      <x:c r="B574" s="12" t="str">
        <x:v>S35</x:v>
      </x:c>
      <x:c r="C574" s="12" t="str">
        <x:v>ST-3503</x:v>
      </x:c>
      <x:c r="D574" s="12" t="str">
        <x:v>RELEASE_AGENT</x:v>
      </x:c>
      <x:c r="E574" s="12" t="str">
        <x:v>Sửa lỗi ưu tiên cao trong quỹ dự phòng launch</x:v>
      </x:c>
      <x:c r="F574" s="12" t="str">
        <x:v>NOT_STARTED</x:v>
      </x:c>
      <x:c r="G574" s="12" t="str">
        <x:v>T-350201, T-350202, T-350203, T-350204, T-350301</x:v>
      </x:c>
      <x:c r="H574" s="12" t="str">
        <x:v>release/hotfix_branch/</x:v>
      </x:c>
      <x:c r="I574" s="12" t="str">
        <x:v>ARTIFACT_REVIEW</x:v>
      </x:c>
      <x:c r="J574" s="12" t="str">
        <x:v>L</x:v>
      </x:c>
      <x:c r="K574" s="12" t="str">
        <x:v>reports/tasks/T-350302/evidence.json</x:v>
      </x:c>
      <x:c r="L574" s="12" t="str">
        <x:v>tasks/T-350302.md</x:v>
      </x:c>
      <x:c r="M574" s="12" t="str">
        <x:v>none</x:v>
      </x:c>
    </x:row>
    <x:row r="575" ht="58" customHeight="1">
      <x:c r="A575" s="12" t="str">
        <x:v>T-350303</x:v>
      </x:c>
      <x:c r="B575" s="12" t="str">
        <x:v>S35</x:v>
      </x:c>
      <x:c r="C575" s="12" t="str">
        <x:v>ST-3503</x:v>
      </x:c>
      <x:c r="D575" s="12" t="str">
        <x:v>QA_AGENT</x:v>
      </x:c>
      <x:c r="E575" s="12" t="str">
        <x:v>Kiểm tra hotfix và golden saves</x:v>
      </x:c>
      <x:c r="F575" s="12" t="str">
        <x:v>NOT_STARTED</x:v>
      </x:c>
      <x:c r="G575" s="12" t="str">
        <x:v>T-350201, T-350202, T-350203, T-350204, T-350302</x:v>
      </x:c>
      <x:c r="H575" s="12" t="str">
        <x:v>reports/S35/hotfix_QA.md</x:v>
      </x:c>
      <x:c r="I575" s="12" t="str">
        <x:v>ARTIFACT_REVIEW, ENGINE_TEST, RENDERED_RUNTIME</x:v>
      </x:c>
      <x:c r="J575" s="12" t="str">
        <x:v>L</x:v>
      </x:c>
      <x:c r="K575" s="12" t="str">
        <x:v>reports/tasks/T-350303/evidence.json</x:v>
      </x:c>
      <x:c r="L575" s="12" t="str">
        <x:v>tasks/T-350303.md</x:v>
      </x:c>
      <x:c r="M575" s="12" t="str">
        <x:v>none</x:v>
      </x:c>
    </x:row>
    <x:row r="576" ht="58" customHeight="1">
      <x:c r="A576" s="12" t="str">
        <x:v>T-350304</x:v>
      </x:c>
      <x:c r="B576" s="12" t="str">
        <x:v>S35</x:v>
      </x:c>
      <x:c r="C576" s="12" t="str">
        <x:v>ST-3503</x:v>
      </x:c>
      <x:c r="D576" s="12" t="str">
        <x:v>GAMEPLAY_AGENT</x:v>
      </x:c>
      <x:c r="E576" s="12" t="str">
        <x:v>Owner duyệt publish hotfix/rollback/giữ nguyên</x:v>
      </x:c>
      <x:c r="F576" s="12" t="str">
        <x:v>NOT_STARTED</x:v>
      </x:c>
      <x:c r="G576" s="12" t="str">
        <x:v>T-350201, T-350202, T-350203, T-350204, T-350303</x:v>
      </x:c>
      <x:c r="H576" s="12" t="str">
        <x:v>reports/S35/hotfix_decision.md</x:v>
      </x:c>
      <x:c r="I576" s="12" t="str">
        <x:v>ARTIFACT_REVIEW, ENGINE_TEST, EXTERNAL_RESULT</x:v>
      </x:c>
      <x:c r="J576" s="12" t="str">
        <x:v>M</x:v>
      </x:c>
      <x:c r="K576" s="12" t="str">
        <x:v>reports/tasks/T-350304/evidence.json</x:v>
      </x:c>
      <x:c r="L576" s="12" t="str">
        <x:v>tasks/T-350304.md</x:v>
      </x:c>
      <x:c r="M576" s="12" t="str">
        <x:v>explicit_owner_authorization</x:v>
      </x:c>
    </x:row>
    <x:row r="577" ht="58" customHeight="1">
      <x:c r="A577" s="12" t="str">
        <x:v>T-350401</x:v>
      </x:c>
      <x:c r="B577" s="12" t="str">
        <x:v>S35</x:v>
      </x:c>
      <x:c r="C577" s="12" t="str">
        <x:v>ST-3504</x:v>
      </x:c>
      <x:c r="D577" s="12" t="str">
        <x:v>RELEASE_AGENT</x:v>
      </x:c>
      <x:c r="E577" s="12" t="str">
        <x:v>Audit public package so với Full Game DoD</x:v>
      </x:c>
      <x:c r="F577" s="12" t="str">
        <x:v>NOT_STARTED</x:v>
      </x:c>
      <x:c r="G577" s="12" t="str">
        <x:v>T-350301, T-350302, T-350303, T-350304</x:v>
      </x:c>
      <x:c r="H577" s="12" t="str">
        <x:v>reports/S35/product_acceptance.md</x:v>
      </x:c>
      <x:c r="I577" s="12" t="str">
        <x:v>ARTIFACT_REVIEW</x:v>
      </x:c>
      <x:c r="J577" s="12" t="str">
        <x:v>M</x:v>
      </x:c>
      <x:c r="K577" s="12" t="str">
        <x:v>reports/tasks/T-350401/evidence.json</x:v>
      </x:c>
      <x:c r="L577" s="12" t="str">
        <x:v>tasks/T-350401.md</x:v>
      </x:c>
      <x:c r="M577" s="12" t="str">
        <x:v>none</x:v>
      </x:c>
    </x:row>
    <x:row r="578" ht="58" customHeight="1">
      <x:c r="A578" s="12" t="str">
        <x:v>T-350402</x:v>
      </x:c>
      <x:c r="B578" s="12" t="str">
        <x:v>S35</x:v>
      </x:c>
      <x:c r="C578" s="12" t="str">
        <x:v>ST-3504</x:v>
      </x:c>
      <x:c r="D578" s="12" t="str">
        <x:v>GAMEPLAY_AGENT</x:v>
      </x:c>
      <x:c r="E578" s="12" t="str">
        <x:v>Ghi launch metrics sẵn có và bug counts</x:v>
      </x:c>
      <x:c r="F578" s="12" t="str">
        <x:v>NOT_STARTED</x:v>
      </x:c>
      <x:c r="G578" s="12" t="str">
        <x:v>T-350301, T-350302, T-350303, T-350304, T-350401</x:v>
      </x:c>
      <x:c r="H578" s="12" t="str">
        <x:v>reports/S35/launch_metrics.csv</x:v>
      </x:c>
      <x:c r="I578" s="12" t="str">
        <x:v>ARTIFACT_REVIEW, ENGINE_TEST</x:v>
      </x:c>
      <x:c r="J578" s="12" t="str">
        <x:v>M</x:v>
      </x:c>
      <x:c r="K578" s="12" t="str">
        <x:v>reports/tasks/T-350402/evidence.json</x:v>
      </x:c>
      <x:c r="L578" s="12" t="str">
        <x:v>tasks/T-350402.md</x:v>
      </x:c>
      <x:c r="M578" s="12" t="str">
        <x:v>none</x:v>
      </x:c>
    </x:row>
    <x:row r="579" ht="58" customHeight="1">
      <x:c r="A579" s="12" t="str">
        <x:v>T-350403</x:v>
      </x:c>
      <x:c r="B579" s="12" t="str">
        <x:v>S35</x:v>
      </x:c>
      <x:c r="C579" s="12" t="str">
        <x:v>ST-3504</x:v>
      </x:c>
      <x:c r="D579" s="12" t="str">
        <x:v>ORCHESTRATOR</x:v>
      </x:c>
      <x:c r="E579" s="12" t="str">
        <x:v>Ghi bằng chứng G8 và công bố trạng thái sản phẩm</x:v>
      </x:c>
      <x:c r="F579" s="12" t="str">
        <x:v>NOT_STARTED</x:v>
      </x:c>
      <x:c r="G579" s="12" t="str">
        <x:v>T-350301, T-350302, T-350303, T-350304, T-350402</x:v>
      </x:c>
      <x:c r="H579" s="12" t="str">
        <x:v>reports/S35/gate_G8.md</x:v>
      </x:c>
      <x:c r="I579" s="12" t="str">
        <x:v>ARTIFACT_REVIEW</x:v>
      </x:c>
      <x:c r="J579" s="12" t="str">
        <x:v>S</x:v>
      </x:c>
      <x:c r="K579" s="12" t="str">
        <x:v>reports/tasks/T-350403/evidence.json</x:v>
      </x:c>
      <x:c r="L579" s="12" t="str">
        <x:v>tasks/T-350403.md</x:v>
      </x:c>
      <x:c r="M579" s="12" t="str">
        <x:v>none</x:v>
      </x:c>
    </x:row>
    <x:row r="580" ht="58" customHeight="1">
      <x:c r="A580" s="12" t="str">
        <x:v>T-350404</x:v>
      </x:c>
      <x:c r="B580" s="12" t="str">
        <x:v>S35</x:v>
      </x:c>
      <x:c r="C580" s="12" t="str">
        <x:v>ST-3504</x:v>
      </x:c>
      <x:c r="D580" s="12" t="str">
        <x:v>RELEASE_AGENT</x:v>
      </x:c>
      <x:c r="E580" s="12" t="str">
        <x:v>Lập danh sách theo dõi hypercare S36</x:v>
      </x:c>
      <x:c r="F580" s="12" t="str">
        <x:v>NOT_STARTED</x:v>
      </x:c>
      <x:c r="G580" s="12" t="str">
        <x:v>T-350301, T-350302, T-350303, T-350304, T-350403</x:v>
      </x:c>
      <x:c r="H580" s="12" t="str">
        <x:v>support/hypercare_queue.md</x:v>
      </x:c>
      <x:c r="I580" s="12" t="str">
        <x:v>ARTIFACT_REVIEW</x:v>
      </x:c>
      <x:c r="J580" s="12" t="str">
        <x:v>S</x:v>
      </x:c>
      <x:c r="K580" s="12" t="str">
        <x:v>reports/tasks/T-350404/evidence.json</x:v>
      </x:c>
      <x:c r="L580" s="12" t="str">
        <x:v>tasks/T-350404.md</x:v>
      </x:c>
      <x:c r="M580" s="12" t="str">
        <x:v>none</x:v>
      </x:c>
    </x:row>
    <x:row r="581" ht="58" customHeight="1">
      <x:c r="A581" s="12" t="str">
        <x:v>T-360101</x:v>
      </x:c>
      <x:c r="B581" s="12" t="str">
        <x:v>S36</x:v>
      </x:c>
      <x:c r="C581" s="12" t="str">
        <x:v>ST-3601</x:v>
      </x:c>
      <x:c r="D581" s="12" t="str">
        <x:v>GAMEPLAY_AGENT</x:v>
      </x:c>
      <x:c r="E581" s="12" t="str">
        <x:v>Triage các report thực sau launch</x:v>
      </x:c>
      <x:c r="F581" s="12" t="str">
        <x:v>NOT_STARTED</x:v>
      </x:c>
      <x:c r="G581" s="12" t="str">
        <x:v>T-350401, T-350402, T-350403, T-350404</x:v>
      </x:c>
      <x:c r="H581" s="12" t="str">
        <x:v>reports/S36/triage.md</x:v>
      </x:c>
      <x:c r="I581" s="12" t="str">
        <x:v>ARTIFACT_REVIEW, ENGINE_TEST</x:v>
      </x:c>
      <x:c r="J581" s="12" t="str">
        <x:v>M</x:v>
      </x:c>
      <x:c r="K581" s="12" t="str">
        <x:v>reports/tasks/T-360101/evidence.json</x:v>
      </x:c>
      <x:c r="L581" s="12" t="str">
        <x:v>tasks/T-360101.md</x:v>
      </x:c>
      <x:c r="M581" s="12" t="str">
        <x:v>none</x:v>
      </x:c>
    </x:row>
    <x:row r="582" ht="58" customHeight="1">
      <x:c r="A582" s="12" t="str">
        <x:v>T-360102</x:v>
      </x:c>
      <x:c r="B582" s="12" t="str">
        <x:v>S36</x:v>
      </x:c>
      <x:c r="C582" s="12" t="str">
        <x:v>ST-3601</x:v>
      </x:c>
      <x:c r="D582" s="12" t="str">
        <x:v>RELEASE_AGENT</x:v>
      </x:c>
      <x:c r="E582" s="12" t="str">
        <x:v>Thực hiện nhóm sửa ưu tiên trong quỹ hypercare</x:v>
      </x:c>
      <x:c r="F582" s="12" t="str">
        <x:v>NOT_STARTED</x:v>
      </x:c>
      <x:c r="G582" s="12" t="str">
        <x:v>T-350401, T-350402, T-350403, T-350404, T-360101</x:v>
      </x:c>
      <x:c r="H582" s="12" t="str">
        <x:v>release/1.0.x/</x:v>
      </x:c>
      <x:c r="I582" s="12" t="str">
        <x:v>ARTIFACT_REVIEW</x:v>
      </x:c>
      <x:c r="J582" s="12" t="str">
        <x:v>L</x:v>
      </x:c>
      <x:c r="K582" s="12" t="str">
        <x:v>reports/tasks/T-360102/evidence.json</x:v>
      </x:c>
      <x:c r="L582" s="12" t="str">
        <x:v>tasks/T-360102.md</x:v>
      </x:c>
      <x:c r="M582" s="12" t="str">
        <x:v>none</x:v>
      </x:c>
    </x:row>
    <x:row r="583" ht="58" customHeight="1">
      <x:c r="A583" s="12" t="str">
        <x:v>T-360103</x:v>
      </x:c>
      <x:c r="B583" s="12" t="str">
        <x:v>S36</x:v>
      </x:c>
      <x:c r="C583" s="12" t="str">
        <x:v>ST-3601</x:v>
      </x:c>
      <x:c r="D583" s="12" t="str">
        <x:v>QA_AGENT</x:v>
      </x:c>
      <x:c r="E583" s="12" t="str">
        <x:v>Test bản sửa và những đường chơi chịu ảnh hưởng</x:v>
      </x:c>
      <x:c r="F583" s="12" t="str">
        <x:v>NOT_STARTED</x:v>
      </x:c>
      <x:c r="G583" s="12" t="str">
        <x:v>T-350401, T-350402, T-350403, T-350404, T-360102</x:v>
      </x:c>
      <x:c r="H583" s="12" t="str">
        <x:v>reports/S36/patch_regression.csv</x:v>
      </x:c>
      <x:c r="I583" s="12" t="str">
        <x:v>ARTIFACT_REVIEW, ENGINE_TEST, RENDERED_RUNTIME</x:v>
      </x:c>
      <x:c r="J583" s="12" t="str">
        <x:v>L</x:v>
      </x:c>
      <x:c r="K583" s="12" t="str">
        <x:v>reports/tasks/T-360103/evidence.json</x:v>
      </x:c>
      <x:c r="L583" s="12" t="str">
        <x:v>tasks/T-360103.md</x:v>
      </x:c>
      <x:c r="M583" s="12" t="str">
        <x:v>none</x:v>
      </x:c>
    </x:row>
    <x:row r="584" ht="58" customHeight="1">
      <x:c r="A584" s="12" t="str">
        <x:v>T-360104</x:v>
      </x:c>
      <x:c r="B584" s="12" t="str">
        <x:v>S36</x:v>
      </x:c>
      <x:c r="C584" s="12" t="str">
        <x:v>ST-3601</x:v>
      </x:c>
      <x:c r="D584" s="12" t="str">
        <x:v>GAMEPLAY_AGENT</x:v>
      </x:c>
      <x:c r="E584" s="12" t="str">
        <x:v>Owner duyệt patch hoặc ghi không cần patch</x:v>
      </x:c>
      <x:c r="F584" s="12" t="str">
        <x:v>NOT_STARTED</x:v>
      </x:c>
      <x:c r="G584" s="12" t="str">
        <x:v>T-350401, T-350402, T-350403, T-350404, T-360103</x:v>
      </x:c>
      <x:c r="H584" s="12" t="str">
        <x:v>reports/S36/patch_decision.md</x:v>
      </x:c>
      <x:c r="I584" s="12" t="str">
        <x:v>ARTIFACT_REVIEW, ENGINE_TEST, EXTERNAL_RESULT</x:v>
      </x:c>
      <x:c r="J584" s="12" t="str">
        <x:v>M</x:v>
      </x:c>
      <x:c r="K584" s="12" t="str">
        <x:v>reports/tasks/T-360104/evidence.json</x:v>
      </x:c>
      <x:c r="L584" s="12" t="str">
        <x:v>tasks/T-360104.md</x:v>
      </x:c>
      <x:c r="M584" s="12" t="str">
        <x:v>explicit_owner_authorization</x:v>
      </x:c>
    </x:row>
    <x:row r="585" ht="58" customHeight="1">
      <x:c r="A585" s="12" t="str">
        <x:v>T-360201</x:v>
      </x:c>
      <x:c r="B585" s="12" t="str">
        <x:v>S36</x:v>
      </x:c>
      <x:c r="C585" s="12" t="str">
        <x:v>ST-3602</x:v>
      </x:c>
      <x:c r="D585" s="12" t="str">
        <x:v>GAMEPLAY_AGENT</x:v>
      </x:c>
      <x:c r="E585" s="12" t="str">
        <x:v>Kiểm tra archive repo/LFS/build/lockfiles</x:v>
      </x:c>
      <x:c r="F585" s="12" t="str">
        <x:v>NOT_STARTED</x:v>
      </x:c>
      <x:c r="G585" s="12" t="str">
        <x:v>T-350401, T-350402, T-350403, T-350404</x:v>
      </x:c>
      <x:c r="H585" s="12" t="str">
        <x:v>archives/final_manifest.json</x:v>
      </x:c>
      <x:c r="I585" s="12" t="str">
        <x:v>ARTIFACT_REVIEW, ENGINE_TEST</x:v>
      </x:c>
      <x:c r="J585" s="12" t="str">
        <x:v>M</x:v>
      </x:c>
      <x:c r="K585" s="12" t="str">
        <x:v>reports/tasks/T-360201/evidence.json</x:v>
      </x:c>
      <x:c r="L585" s="12" t="str">
        <x:v>tasks/T-360201.md</x:v>
      </x:c>
      <x:c r="M585" s="12" t="str">
        <x:v>none</x:v>
      </x:c>
    </x:row>
    <x:row r="586" ht="58" customHeight="1">
      <x:c r="A586" s="12" t="str">
        <x:v>T-360202</x:v>
      </x:c>
      <x:c r="B586" s="12" t="str">
        <x:v>S36</x:v>
      </x:c>
      <x:c r="C586" s="12" t="str">
        <x:v>ST-3602</x:v>
      </x:c>
      <x:c r="D586" s="12" t="str">
        <x:v>ART_AGENT</x:v>
      </x:c>
      <x:c r="E586" s="12" t="str">
        <x:v>Bàn giao art sources và external dependencies</x:v>
      </x:c>
      <x:c r="F586" s="12" t="str">
        <x:v>NOT_STARTED</x:v>
      </x:c>
      <x:c r="G586" s="12" t="str">
        <x:v>T-350401, T-350402, T-350403, T-350404, T-360201</x:v>
      </x:c>
      <x:c r="H586" s="12" t="str">
        <x:v>art/source/; docs/art_handover.md</x:v>
      </x:c>
      <x:c r="I586" s="12" t="str">
        <x:v>ARTIFACT_REVIEW, RENDERED_RUNTIME</x:v>
      </x:c>
      <x:c r="J586" s="12" t="str">
        <x:v>L</x:v>
      </x:c>
      <x:c r="K586" s="12" t="str">
        <x:v>reports/tasks/T-360202/evidence.json</x:v>
      </x:c>
      <x:c r="L586" s="12" t="str">
        <x:v>tasks/T-360202.md</x:v>
      </x:c>
      <x:c r="M586" s="12" t="str">
        <x:v>none</x:v>
      </x:c>
    </x:row>
    <x:row r="587" ht="58" customHeight="1">
      <x:c r="A587" s="12" t="str">
        <x:v>T-360203</x:v>
      </x:c>
      <x:c r="B587" s="12" t="str">
        <x:v>S36</x:v>
      </x:c>
      <x:c r="C587" s="12" t="str">
        <x:v>ST-3602</x:v>
      </x:c>
      <x:c r="D587" s="12" t="str">
        <x:v>AUDIO_AGENT</x:v>
      </x:c>
      <x:c r="E587" s="12" t="str">
        <x:v>Bàn giao audio stems/source/license và cue sheets</x:v>
      </x:c>
      <x:c r="F587" s="12" t="str">
        <x:v>NOT_STARTED</x:v>
      </x:c>
      <x:c r="G587" s="12" t="str">
        <x:v>T-350401, T-350402, T-350403, T-350404, T-360202</x:v>
      </x:c>
      <x:c r="H587" s="12" t="str">
        <x:v>audio/source/; docs/audio_handover.md</x:v>
      </x:c>
      <x:c r="I587" s="12" t="str">
        <x:v>ARTIFACT_REVIEW, AUDIO_REVIEW</x:v>
      </x:c>
      <x:c r="J587" s="12" t="str">
        <x:v>L</x:v>
      </x:c>
      <x:c r="K587" s="12" t="str">
        <x:v>reports/tasks/T-360203/evidence.json</x:v>
      </x:c>
      <x:c r="L587" s="12" t="str">
        <x:v>tasks/T-360203.md</x:v>
      </x:c>
      <x:c r="M587" s="12" t="str">
        <x:v>none</x:v>
      </x:c>
    </x:row>
    <x:row r="588" ht="58" customHeight="1">
      <x:c r="A588" s="12" t="str">
        <x:v>T-360204</x:v>
      </x:c>
      <x:c r="B588" s="12" t="str">
        <x:v>S36</x:v>
      </x:c>
      <x:c r="C588" s="12" t="str">
        <x:v>ST-3602</x:v>
      </x:c>
      <x:c r="D588" s="12" t="str">
        <x:v>GAMEPLAY_AGENT</x:v>
      </x:c>
      <x:c r="E588" s="12" t="str">
        <x:v>Diễn tập clean rebuild do agent thực hiện</x:v>
      </x:c>
      <x:c r="F588" s="12" t="str">
        <x:v>NOT_STARTED</x:v>
      </x:c>
      <x:c r="G588" s="12" t="str">
        <x:v>T-350401, T-350402, T-350403, T-350404, T-360101, T-360102, T-360103, T-360104, T-360203</x:v>
      </x:c>
      <x:c r="H588" s="12" t="str">
        <x:v>reports/S36/rebuild_handover.md</x:v>
      </x:c>
      <x:c r="I588" s="12" t="str">
        <x:v>ARTIFACT_REVIEW, ENGINE_TEST</x:v>
      </x:c>
      <x:c r="J588" s="12" t="str">
        <x:v>L</x:v>
      </x:c>
      <x:c r="K588" s="12" t="str">
        <x:v>reports/tasks/T-360204/evidence.json</x:v>
      </x:c>
      <x:c r="L588" s="12" t="str">
        <x:v>tasks/T-360204.md</x:v>
      </x:c>
      <x:c r="M588" s="12" t="str">
        <x:v>none</x:v>
      </x:c>
    </x:row>
    <x:row r="589" ht="58" customHeight="1">
      <x:c r="A589" s="12" t="str">
        <x:v>T-360301</x:v>
      </x:c>
      <x:c r="B589" s="12" t="str">
        <x:v>S36</x:v>
      </x:c>
      <x:c r="C589" s="12" t="str">
        <x:v>ST-3603</x:v>
      </x:c>
      <x:c r="D589" s="12" t="str">
        <x:v>ORCHESTRATOR</x:v>
      </x:c>
      <x:c r="E589" s="12" t="str">
        <x:v>Tổng kết execution ledger và chi phí thực của agent</x:v>
      </x:c>
      <x:c r="F589" s="12" t="str">
        <x:v>NOT_STARTED</x:v>
      </x:c>
      <x:c r="G589" s="12" t="str">
        <x:v>T-360201, T-360202, T-360203, T-360204</x:v>
      </x:c>
      <x:c r="H589" s="12" t="str">
        <x:v>reports/S36/execution_cost_review.md</x:v>
      </x:c>
      <x:c r="I589" s="12" t="str">
        <x:v>ARTIFACT_REVIEW</x:v>
      </x:c>
      <x:c r="J589" s="12" t="str">
        <x:v>M</x:v>
      </x:c>
      <x:c r="K589" s="12" t="str">
        <x:v>reports/tasks/T-360301/evidence.json</x:v>
      </x:c>
      <x:c r="L589" s="12" t="str">
        <x:v>tasks/T-360301.md</x:v>
      </x:c>
      <x:c r="M589" s="12" t="str">
        <x:v>none</x:v>
      </x:c>
    </x:row>
    <x:row r="590" ht="58" customHeight="1">
      <x:c r="A590" s="12" t="str">
        <x:v>T-360302</x:v>
      </x:c>
      <x:c r="B590" s="12" t="str">
        <x:v>S36</x:v>
      </x:c>
      <x:c r="C590" s="12" t="str">
        <x:v>ST-3603</x:v>
      </x:c>
      <x:c r="D590" s="12" t="str">
        <x:v>GAMEPLAY_AGENT</x:v>
      </x:c>
      <x:c r="E590" s="12" t="str">
        <x:v>Viết postmortem quyết định đúng/sai</x:v>
      </x:c>
      <x:c r="F590" s="12" t="str">
        <x:v>NOT_STARTED</x:v>
      </x:c>
      <x:c r="G590" s="12" t="str">
        <x:v>T-360201, T-360202, T-360203, T-360204, T-360301</x:v>
      </x:c>
      <x:c r="H590" s="12" t="str">
        <x:v>reports/S36/postmortem.md</x:v>
      </x:c>
      <x:c r="I590" s="12" t="str">
        <x:v>ARTIFACT_REVIEW, ENGINE_TEST</x:v>
      </x:c>
      <x:c r="J590" s="12" t="str">
        <x:v>M</x:v>
      </x:c>
      <x:c r="K590" s="12" t="str">
        <x:v>reports/tasks/T-360302/evidence.json</x:v>
      </x:c>
      <x:c r="L590" s="12" t="str">
        <x:v>tasks/T-360302.md</x:v>
      </x:c>
      <x:c r="M590" s="12" t="str">
        <x:v>none</x:v>
      </x:c>
    </x:row>
    <x:row r="591" ht="58" customHeight="1">
      <x:c r="A591" s="12" t="str">
        <x:v>T-360303</x:v>
      </x:c>
      <x:c r="B591" s="12" t="str">
        <x:v>S36</x:v>
      </x:c>
      <x:c r="C591" s="12" t="str">
        <x:v>ST-3603</x:v>
      </x:c>
      <x:c r="D591" s="12" t="str">
        <x:v>GAMEPLAY_AGENT</x:v>
      </x:c>
      <x:c r="E591" s="12" t="str">
        <x:v>Soạn maintenance runbook và compatibility policy</x:v>
      </x:c>
      <x:c r="F591" s="12" t="str">
        <x:v>NOT_STARTED</x:v>
      </x:c>
      <x:c r="G591" s="12" t="str">
        <x:v>T-360201, T-360202, T-360203, T-360204, T-360302</x:v>
      </x:c>
      <x:c r="H591" s="12" t="str">
        <x:v>docs/maintenance.md</x:v>
      </x:c>
      <x:c r="I591" s="12" t="str">
        <x:v>ARTIFACT_REVIEW, ENGINE_TEST</x:v>
      </x:c>
      <x:c r="J591" s="12" t="str">
        <x:v>M</x:v>
      </x:c>
      <x:c r="K591" s="12" t="str">
        <x:v>reports/tasks/T-360303/evidence.json</x:v>
      </x:c>
      <x:c r="L591" s="12" t="str">
        <x:v>tasks/T-360303.md</x:v>
      </x:c>
      <x:c r="M591" s="12" t="str">
        <x:v>none</x:v>
      </x:c>
    </x:row>
    <x:row r="592" ht="58" customHeight="1">
      <x:c r="A592" s="12" t="str">
        <x:v>T-360304</x:v>
      </x:c>
      <x:c r="B592" s="12" t="str">
        <x:v>S36</x:v>
      </x:c>
      <x:c r="C592" s="12" t="str">
        <x:v>ST-3603</x:v>
      </x:c>
      <x:c r="D592" s="12" t="str">
        <x:v>GAMEPLAY_AGENT</x:v>
      </x:c>
      <x:c r="E592" s="12" t="str">
        <x:v>Đóng hoặc chuyển các ticket còn mở đúng chỗ</x:v>
      </x:c>
      <x:c r="F592" s="12" t="str">
        <x:v>NOT_STARTED</x:v>
      </x:c>
      <x:c r="G592" s="12" t="str">
        <x:v>T-360201, T-360202, T-360203, T-360204, T-360303</x:v>
      </x:c>
      <x:c r="H592" s="12" t="str">
        <x:v>reports/S36/backlog_handover.csv</x:v>
      </x:c>
      <x:c r="I592" s="12" t="str">
        <x:v>ARTIFACT_REVIEW, ENGINE_TEST</x:v>
      </x:c>
      <x:c r="J592" s="12" t="str">
        <x:v>S</x:v>
      </x:c>
      <x:c r="K592" s="12" t="str">
        <x:v>reports/tasks/T-360304/evidence.json</x:v>
      </x:c>
      <x:c r="L592" s="12" t="str">
        <x:v>tasks/T-360304.md</x:v>
      </x:c>
      <x:c r="M592" s="12" t="str">
        <x:v>none</x:v>
      </x:c>
    </x:row>
    <x:row r="593" ht="58" customHeight="1">
      <x:c r="A593" s="12" t="str">
        <x:v>T-360401</x:v>
      </x:c>
      <x:c r="B593" s="12" t="str">
        <x:v>S36</x:v>
      </x:c>
      <x:c r="C593" s="12" t="str">
        <x:v>ST-3604</x:v>
      </x:c>
      <x:c r="D593" s="12" t="str">
        <x:v>QA_AGENT</x:v>
      </x:c>
      <x:c r="E593" s="12" t="str">
        <x:v>Chạy smoke public build cuối và save recovery</x:v>
      </x:c>
      <x:c r="F593" s="12" t="str">
        <x:v>NOT_STARTED</x:v>
      </x:c>
      <x:c r="G593" s="12" t="str">
        <x:v>T-360301, T-360302, T-360303, T-360304</x:v>
      </x:c>
      <x:c r="H593" s="12" t="str">
        <x:v>reports/S36/final_public_smoke.csv</x:v>
      </x:c>
      <x:c r="I593" s="12" t="str">
        <x:v>ARTIFACT_REVIEW, ENGINE_TEST, RENDERED_RUNTIME</x:v>
      </x:c>
      <x:c r="J593" s="12" t="str">
        <x:v>L</x:v>
      </x:c>
      <x:c r="K593" s="12" t="str">
        <x:v>reports/tasks/T-360401/evidence.json</x:v>
      </x:c>
      <x:c r="L593" s="12" t="str">
        <x:v>tasks/T-360401.md</x:v>
      </x:c>
      <x:c r="M593" s="12" t="str">
        <x:v>none</x:v>
      </x:c>
    </x:row>
    <x:row r="594" ht="58" customHeight="1">
      <x:c r="A594" s="12" t="str">
        <x:v>T-360402</x:v>
      </x:c>
      <x:c r="B594" s="12" t="str">
        <x:v>S36</x:v>
      </x:c>
      <x:c r="C594" s="12" t="str">
        <x:v>ST-3604</x:v>
      </x:c>
      <x:c r="D594" s="12" t="str">
        <x:v>ORCHESTRATOR</x:v>
      </x:c>
      <x:c r="E594" s="12" t="str">
        <x:v>Audit sản phẩm và hồ sơ giao cuối</x:v>
      </x:c>
      <x:c r="F594" s="12" t="str">
        <x:v>NOT_STARTED</x:v>
      </x:c>
      <x:c r="G594" s="12" t="str">
        <x:v>T-360301, T-360302, T-360303, T-360304, T-360401</x:v>
      </x:c>
      <x:c r="H594" s="12" t="str">
        <x:v>reports/S36/final_acceptance.md</x:v>
      </x:c>
      <x:c r="I594" s="12" t="str">
        <x:v>ARTIFACT_REVIEW</x:v>
      </x:c>
      <x:c r="J594" s="12" t="str">
        <x:v>L</x:v>
      </x:c>
      <x:c r="K594" s="12" t="str">
        <x:v>reports/tasks/T-360402/evidence.json</x:v>
      </x:c>
      <x:c r="L594" s="12" t="str">
        <x:v>tasks/T-360402.md</x:v>
      </x:c>
      <x:c r="M594" s="12" t="str">
        <x:v>none</x:v>
      </x:c>
    </x:row>
    <x:row r="595" ht="58" customHeight="1">
      <x:c r="A595" s="12" t="str">
        <x:v>T-360403</x:v>
      </x:c>
      <x:c r="B595" s="12" t="str">
        <x:v>S36</x:v>
      </x:c>
      <x:c r="C595" s="12" t="str">
        <x:v>ST-3604</x:v>
      </x:c>
      <x:c r="D595" s="12" t="str">
        <x:v>ORCHESTRATOR</x:v>
      </x:c>
      <x:c r="E595" s="12" t="str">
        <x:v>Chốt handover kỹ thuật và trạng thái phát hành thật</x:v>
      </x:c>
      <x:c r="F595" s="12" t="str">
        <x:v>NOT_STARTED</x:v>
      </x:c>
      <x:c r="G595" s="12" t="str">
        <x:v>T-360301, T-360302, T-360303, T-360304, T-360402</x:v>
      </x:c>
      <x:c r="H595" s="12" t="str">
        <x:v>reports/S36/gate_G9.md</x:v>
      </x:c>
      <x:c r="I595" s="12" t="str">
        <x:v>ARTIFACT_REVIEW</x:v>
      </x:c>
      <x:c r="J595" s="12" t="str">
        <x:v>M</x:v>
      </x:c>
      <x:c r="K595" s="12" t="str">
        <x:v>reports/tasks/T-360403/evidence.json</x:v>
      </x:c>
      <x:c r="L595" s="12" t="str">
        <x:v>tasks/T-360403.md</x:v>
      </x:c>
      <x:c r="M595" s="12" t="str">
        <x:v>none</x:v>
      </x:c>
    </x:row>
    <x:row r="596" ht="58" customHeight="1">
      <x:c r="A596" s="12" t="str">
        <x:v>T-360404</x:v>
      </x:c>
      <x:c r="B596" s="12" t="str">
        <x:v>S36</x:v>
      </x:c>
      <x:c r="C596" s="12" t="str">
        <x:v>ST-3604</x:v>
      </x:c>
      <x:c r="D596" s="12" t="str">
        <x:v>ORCHESTRATOR</x:v>
      </x:c>
      <x:c r="E596" s="12" t="str">
        <x:v>Archive baseline 1.0 và readme vận hành</x:v>
      </x:c>
      <x:c r="F596" s="12" t="str">
        <x:v>NOT_STARTED</x:v>
      </x:c>
      <x:c r="G596" s="12" t="str">
        <x:v>T-360301, T-360302, T-360303, T-360304, T-360403</x:v>
      </x:c>
      <x:c r="H596" s="12" t="str">
        <x:v>archives/1.0/README.md</x:v>
      </x:c>
      <x:c r="I596" s="12" t="str">
        <x:v>ARTIFACT_REVIEW</x:v>
      </x:c>
      <x:c r="J596" s="12" t="str">
        <x:v>S</x:v>
      </x:c>
      <x:c r="K596" s="12" t="str">
        <x:v>reports/tasks/T-360404/evidence.json</x:v>
      </x:c>
      <x:c r="L596" s="12" t="str">
        <x:v>tasks/T-360404.md</x:v>
      </x:c>
      <x:c r="M596" s="12" t="str">
        <x:v>none</x:v>
      </x:c>
    </x:row>
    <x:row r="597">
      <x:c r="A597" s="12" t="str">
        <x:v>T-070205</x:v>
      </x:c>
      <x:c r="B597" s="12" t="str">
        <x:v>S07</x:v>
      </x:c>
      <x:c r="C597" s="12" t="str">
        <x:v>ST-0702</x:v>
      </x:c>
      <x:c r="D597" s="12" t="str">
        <x:v>GAMEPLAY_AGENT</x:v>
      </x:c>
      <x:c r="E597" s="12" t="str">
        <x:v>InspectableObject và giao diện kiểm tra cận cảnh</x:v>
      </x:c>
      <x:c r="F597" s="12" t="str">
        <x:v>NOT_STARTED</x:v>
      </x:c>
      <x:c r="G597" s="12" t="str">
        <x:v>T-070104, T-040104, T-050204</x:v>
      </x:c>
      <x:c r="H597" s="12" t="str">
        <x:v>scripts/interaction/inspectable_object.gd; scenes/ui/inspection_view.tscn</x:v>
      </x:c>
      <x:c r="I597" s="12" t="str">
        <x:v>ARTIFACT_REVIEW, ENGINE_TEST, RENDERED_RUNTIME</x:v>
      </x:c>
      <x:c r="J597" s="12" t="str">
        <x:v>M</x:v>
      </x:c>
      <x:c r="K597" s="12" t="str">
        <x:v>reports/tasks/T-070205/evidence.json</x:v>
      </x:c>
      <x:c r="L597" s="12" t="str">
        <x:v>tasks/T-070205.md</x:v>
      </x:c>
      <x:c r="M597" s="12" t="str">
        <x:v>none</x:v>
      </x:c>
    </x:row>
    <x:row r="598">
      <x:c r="A598" s="12" t="str">
        <x:v>T-070206</x:v>
      </x:c>
      <x:c r="B598" s="12" t="str">
        <x:v>S07</x:v>
      </x:c>
      <x:c r="C598" s="12" t="str">
        <x:v>ST-0702</x:v>
      </x:c>
      <x:c r="D598" s="12" t="str">
        <x:v>GAMEPLAY_AGENT</x:v>
      </x:c>
      <x:c r="E598" s="12" t="str">
        <x:v>Inventory quest và recipe giao dịch nguyên tử</x:v>
      </x:c>
      <x:c r="F598" s="12" t="str">
        <x:v>NOT_STARTED</x:v>
      </x:c>
      <x:c r="G598" s="12" t="str">
        <x:v>T-070205</x:v>
      </x:c>
      <x:c r="H598" s="12" t="str">
        <x:v>scripts/inventory/inventory_manager.gd; data/items/; data/recipes/</x:v>
      </x:c>
      <x:c r="I598" s="12" t="str">
        <x:v>ARTIFACT_REVIEW, ENGINE_TEST, RENDERED_RUNTIME</x:v>
      </x:c>
      <x:c r="J598" s="12" t="str">
        <x:v>M</x:v>
      </x:c>
      <x:c r="K598" s="12" t="str">
        <x:v>reports/tasks/T-070206/evidence.json</x:v>
      </x:c>
      <x:c r="L598" s="12" t="str">
        <x:v>tasks/T-070206.md</x:v>
      </x:c>
      <x:c r="M598" s="12" t="str">
        <x:v>none</x:v>
      </x:c>
    </x:row>
    <x:row r="599">
      <x:c r="A599" s="12" t="str">
        <x:v>T-070207</x:v>
      </x:c>
      <x:c r="B599" s="12" t="str">
        <x:v>S07</x:v>
      </x:c>
      <x:c r="C599" s="12" t="str">
        <x:v>ST-0702</x:v>
      </x:c>
      <x:c r="D599" s="12" t="str">
        <x:v>GAMEPLAY_AGENT</x:v>
      </x:c>
      <x:c r="E599" s="12" t="str">
        <x:v>PuzzleManager và partial-state persistence</x:v>
      </x:c>
      <x:c r="F599" s="12" t="str">
        <x:v>NOT_STARTED</x:v>
      </x:c>
      <x:c r="G599" s="12" t="str">
        <x:v>T-070206</x:v>
      </x:c>
      <x:c r="H599" s="12" t="str">
        <x:v>scripts/puzzles/puzzle_manager.gd; tests/puzzles/</x:v>
      </x:c>
      <x:c r="I599" s="12" t="str">
        <x:v>ARTIFACT_REVIEW, ENGINE_TEST, RENDERED_RUNTIME</x:v>
      </x:c>
      <x:c r="J599" s="12" t="str">
        <x:v>M</x:v>
      </x:c>
      <x:c r="K599" s="12" t="str">
        <x:v>reports/tasks/T-070207/evidence.json</x:v>
      </x:c>
      <x:c r="L599" s="12" t="str">
        <x:v>tasks/T-070207.md</x:v>
      </x:c>
      <x:c r="M599" s="12" t="str">
        <x:v>none</x:v>
      </x:c>
    </x:row>
    <x:row r="600">
      <x:c r="A600" s="12" t="str">
        <x:v>T-070208</x:v>
      </x:c>
      <x:c r="B600" s="12" t="str">
        <x:v>S07</x:v>
      </x:c>
      <x:c r="C600" s="12" t="str">
        <x:v>ST-0702</x:v>
      </x:c>
      <x:c r="D600" s="12" t="str">
        <x:v>GAMEPLAY_AGENT</x:v>
      </x:c>
      <x:c r="E600" s="12" t="str">
        <x:v>Journal ghim manh mối và liên kết chứng cứ</x:v>
      </x:c>
      <x:c r="F600" s="12" t="str">
        <x:v>NOT_STARTED</x:v>
      </x:c>
      <x:c r="G600" s="12" t="str">
        <x:v>T-070207</x:v>
      </x:c>
      <x:c r="H600" s="12" t="str">
        <x:v>scripts/evidence/journal_service.gd; scenes/ui/clue_pins.tscn</x:v>
      </x:c>
      <x:c r="I600" s="12" t="str">
        <x:v>ARTIFACT_REVIEW, ENGINE_TEST, RENDERED_RUNTIME</x:v>
      </x:c>
      <x:c r="J600" s="12" t="str">
        <x:v>M</x:v>
      </x:c>
      <x:c r="K600" s="12" t="str">
        <x:v>reports/tasks/T-070208/evidence.json</x:v>
      </x:c>
      <x:c r="L600" s="12" t="str">
        <x:v>tasks/T-070208.md</x:v>
      </x:c>
      <x:c r="M600" s="12" t="str">
        <x:v>none</x:v>
      </x:c>
    </x:row>
    <x:row r="601">
      <x:c r="A601" s="12" t="str">
        <x:v>T-070209</x:v>
      </x:c>
      <x:c r="B601" s="12" t="str">
        <x:v>S07</x:v>
      </x:c>
      <x:c r="C601" s="12" t="str">
        <x:v>ST-0702</x:v>
      </x:c>
      <x:c r="D601" s="12" t="str">
        <x:v>GAMEPLAY_AGENT</x:v>
      </x:c>
      <x:c r="E601" s="12" t="str">
        <x:v>HintManager ba cấp theo trạng thái và input tương đương</x:v>
      </x:c>
      <x:c r="F601" s="12" t="str">
        <x:v>NOT_STARTED</x:v>
      </x:c>
      <x:c r="G601" s="12" t="str">
        <x:v>T-070208</x:v>
      </x:c>
      <x:c r="H601" s="12" t="str">
        <x:v>scripts/puzzles/hint_manager.gd; data/hints/CH01.json</x:v>
      </x:c>
      <x:c r="I601" s="12" t="str">
        <x:v>ARTIFACT_REVIEW, ENGINE_TEST, RENDERED_RUNTIME</x:v>
      </x:c>
      <x:c r="J601" s="12" t="str">
        <x:v>M</x:v>
      </x:c>
      <x:c r="K601" s="12" t="str">
        <x:v>reports/tasks/T-070209/evidence.json</x:v>
      </x:c>
      <x:c r="L601" s="12" t="str">
        <x:v>tasks/T-070209.md</x:v>
      </x:c>
      <x:c r="M601" s="12" t="str">
        <x:v>none</x:v>
      </x:c>
    </x:row>
    <x:row r="602">
      <x:c r="A602" s="12" t="str">
        <x:v>T-070210</x:v>
      </x:c>
      <x:c r="B602" s="12" t="str">
        <x:v>S07</x:v>
      </x:c>
      <x:c r="C602" s="12" t="str">
        <x:v>ST-0702</x:v>
      </x:c>
      <x:c r="D602" s="12" t="str">
        <x:v>GAMEPLAY_AGENT</x:v>
      </x:c>
      <x:c r="E602" s="12" t="str">
        <x:v>Tích hợp và kiểm thử các hệ puzzle trước authoring CH01</x:v>
      </x:c>
      <x:c r="F602" s="12" t="str">
        <x:v>NOT_STARTED</x:v>
      </x:c>
      <x:c r="G602" s="12" t="str">
        <x:v>T-070209</x:v>
      </x:c>
      <x:c r="H602" s="12" t="str">
        <x:v>tests/integration/puzzle_systems/; reports/S07/puzzle_systems.md</x:v>
      </x:c>
      <x:c r="I602" s="12" t="str">
        <x:v>ARTIFACT_REVIEW, ENGINE_TEST, RENDERED_RUNTIME</x:v>
      </x:c>
      <x:c r="J602" s="12" t="str">
        <x:v>M</x:v>
      </x:c>
      <x:c r="K602" s="12" t="str">
        <x:v>reports/tasks/T-070210/evidence.json</x:v>
      </x:c>
      <x:c r="L602" s="12" t="str">
        <x:v>tasks/T-070210.md</x:v>
      </x:c>
      <x:c r="M602" s="12" t="str">
        <x:v>none</x:v>
      </x:c>
    </x:row>
  </x:sheetData>
  <x:mergeCells>
    <x:mergeCell ref="A1:M1"/>
    <x:mergeCell ref="A2:M2"/>
  </x:mergeCells>
  <x:conditionalFormatting sqref="F5:F596">
    <x:cfRule type="expression" dxfId="0" priority="1">
      <x:formula>F5="DONE"</x:formula>
    </x:cfRule>
    <x:cfRule type="expression" dxfId="1" priority="2">
      <x:formula>LEFT(F5,7)="BLOCKED"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60db1fea8247ff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9" hidden="0" customWidth="1"/>
    <x:col min="3" max="3" width="25" hidden="0" customWidth="1"/>
    <x:col min="4" max="4" width="68" hidden="0" customWidth="1"/>
    <x:col min="5" max="5" width="25" hidden="0" customWidth="1"/>
    <x:col min="6" max="6" width="17" hidden="0" customWidth="1"/>
    <x:col min="7" max="7" width="22" hidden="0" customWidth="1"/>
  </x:cols>
  <x:sheetData>
    <x:row r="1" ht="36" customHeight="1">
      <x:c r="A1" s="3" t="str">
        <x:v>QUALITY GATES / permission-aware</x:v>
      </x:c>
      <x:c r="B1" s="3"/>
      <x:c r="C1" s="3"/>
      <x:c r="D1" s="3"/>
      <x:c r="E1" s="3"/>
      <x:c r="F1" s="3"/>
      <x:c r="G1" s="3"/>
    </x:row>
    <x:row r="2" ht="31" customHeight="1">
      <x:c r="A2" s="7" t="str">
        <x:v>10 gates • Tách xác nhận kỹ thuật khỏi quyền public; hiện chưa có gate nào được đánh giá.</x:v>
      </x:c>
      <x:c r="B2" s="7"/>
      <x:c r="C2" s="7"/>
      <x:c r="D2" s="7"/>
      <x:c r="E2" s="7"/>
      <x:c r="F2" s="7"/>
      <x:c r="G2" s="7"/>
    </x:row>
    <x:row r="4" ht="32" customHeight="1">
      <x:c r="A4" s="18" t="str">
        <x:v>Gate</x:v>
      </x:c>
      <x:c r="B4" s="18" t="str">
        <x:v>Wave</x:v>
      </x:c>
      <x:c r="C4" s="18" t="str">
        <x:v>Title</x:v>
      </x:c>
      <x:c r="D4" s="18" t="str">
        <x:v>Criteria</x:v>
      </x:c>
      <x:c r="E4" s="18" t="str">
        <x:v>Reviewer mode</x:v>
      </x:c>
      <x:c r="F4" s="18" t="str">
        <x:v>External owner?</x:v>
      </x:c>
      <x:c r="G4" s="18" t="str">
        <x:v>Status</x:v>
      </x:c>
    </x:row>
    <x:row r="5" ht="70" customHeight="1">
      <x:c r="A5" s="12" t="str">
        <x:v>G0</x:v>
      </x:c>
      <x:c r="B5" s="12" t="str">
        <x:v>S01</x:v>
      </x:c>
      <x:c r="C5" s="12" t="str">
        <x:v>Baseline</x:v>
      </x:c>
      <x:c r="D5" s="12" t="str">
        <x:v>Scope v3 và capability/permissions được ghi; project import/export; runtime smoke đúng môi trường; không giả nhận Windows QA.</x:v>
      </x:c>
      <x:c r="E5" s="12" t="str">
        <x:v>REVIEWER_AGENT</x:v>
      </x:c>
      <x:c r="F5" s="12" t="str">
        <x:v>NO</x:v>
      </x:c>
      <x:c r="G5" s="12" t="str">
        <x:v>PASS</x:v>
      </x:c>
    </x:row>
    <x:row r="6" ht="70" customHeight="1">
      <x:c r="A6" s="12" t="str">
        <x:v>G1</x:v>
      </x:c>
      <x:c r="B6" s="12" t="str">
        <x:v>S04</x:v>
      </x:c>
      <x:c r="C6" s="12" t="str">
        <x:v>Technical prototype</x:v>
      </x:c>
      <x:c r="D6" s="12" t="str">
        <x:v>P0 main route + năm agent profile; switch collision/support/reentrant/load pass; không softlock; có render capture.</x:v>
      </x:c>
      <x:c r="E6" s="12" t="str">
        <x:v>REVIEWER_AGENT</x:v>
      </x:c>
      <x:c r="F6" s="12" t="str">
        <x:v>NO</x:v>
      </x:c>
      <x:c r="G6" s="12" t="str">
        <x:v>NOT_EVALUATED</x:v>
      </x:c>
    </x:row>
    <x:row r="7" ht="70" customHeight="1">
      <x:c r="A7" s="12" t="str">
        <x:v>G2</x:v>
      </x:c>
      <x:c r="B7" s="12" t="str">
        <x:v>S10</x:v>
      </x:c>
      <x:c r="C7" s="12" t="str">
        <x:v>Vertical slice</x:v>
      </x:c>
      <x:c r="D7" s="12" t="str">
        <x:v>CH01 P01–P04 hoàn chỉnh: closeup/inventory/recipes/journal pins/hints, main P01/P02/P03 + secret P04; 35 phút mục tiêu chưa đo; tám profile rendered, art/audio/save/stealth, no forced hint. HUMAN_USABILITY_NOT_ASSESSED nếu chưa playtest người thật. Không nhân rộng CH02–CH07 qua G2 fail.</x:v>
      </x:c>
      <x:c r="E7" s="12" t="str">
        <x:v>REVIEWER_AGENT</x:v>
      </x:c>
      <x:c r="F7" s="12" t="str">
        <x:v>NO</x:v>
      </x:c>
      <x:c r="G7" s="12" t="str">
        <x:v>NOT_EVALUATED</x:v>
      </x:c>
    </x:row>
    <x:row r="8" ht="70" customHeight="1">
      <x:c r="A8" s="12" t="str">
        <x:v>G3</x:v>
      </x:c>
      <x:c r="B8" s="12" t="str">
        <x:v>S12</x:v>
      </x:c>
      <x:c r="C8" s="12" t="str">
        <x:v>Production ready</x:v>
      </x:c>
      <x:c r="D8" s="12" t="str">
        <x:v>Production template, stable IDs, save/world/interface contracts và generator recipes khóa; tạo chương mới không rewrite core.</x:v>
      </x:c>
      <x:c r="E8" s="12" t="str">
        <x:v>REVIEWER_AGENT</x:v>
      </x:c>
      <x:c r="F8" s="12" t="str">
        <x:v>NO</x:v>
      </x:c>
      <x:c r="G8" s="12" t="str">
        <x:v>NOT_EVALUATED</x:v>
      </x:c>
    </x:row>
    <x:row r="9" ht="70" customHeight="1">
      <x:c r="A9" s="12" t="str">
        <x:v>G4</x:v>
      </x:c>
      <x:c r="B9" s="12" t="str">
        <x:v>S26</x:v>
      </x:c>
      <x:c r="C9" s="12" t="str">
        <x:v>Content complete</x:v>
      </x:c>
      <x:c r="D9" s="12" t="str">
        <x:v>7 chương, 28 puzzle (14 CORE+7 SUPPORT+7 SECRET), 7 memory, 28 journal IDs,3ending; art/audio/dialoguefinal; all28 puzzle verified, main21 không cần secret; P27plan/P28validation tách biệt; end-to-end.</x:v>
      </x:c>
      <x:c r="E9" s="12" t="str">
        <x:v>REVIEWER_AGENT</x:v>
      </x:c>
      <x:c r="F9" s="12" t="str">
        <x:v>NO</x:v>
      </x:c>
      <x:c r="G9" s="12" t="str">
        <x:v>NOT_EVALUATED</x:v>
      </x:c>
    </x:row>
    <x:row r="10" ht="70" customHeight="1">
      <x:c r="A10" s="12" t="str">
        <x:v>G5</x:v>
      </x:c>
      <x:c r="B10" s="12" t="str">
        <x:v>S28</x:v>
      </x:c>
      <x:c r="C10" s="12" t="str">
        <x:v>Alpha exit / text lock</x:v>
      </x:c>
      <x:c r="D10" s="12" t="str">
        <x:v>Ba ending full runs, 0 Sev-0/1; pacing review của agent và text lock VI; không tuyên bố trải nghiệm người thật đã xác nhận.</x:v>
      </x:c>
      <x:c r="E10" s="12" t="str">
        <x:v>REVIEWER_AGENT</x:v>
      </x:c>
      <x:c r="F10" s="12" t="str">
        <x:v>NO</x:v>
      </x:c>
      <x:c r="G10" s="12" t="str">
        <x:v>NOT_EVALUATED</x:v>
      </x:c>
    </x:row>
    <x:row r="11" ht="70" customHeight="1">
      <x:c r="A11" s="12" t="str">
        <x:v>G6</x:v>
      </x:c>
      <x:c r="B11" s="12" t="str">
        <x:v>S30</x:v>
      </x:c>
      <x:c r="C11" s="12" t="str">
        <x:v>Beta exit</x:v>
      </x:c>
      <x:c r="D11" s="12" t="str">
        <x:v>VI/EN key parity và LQA render, settings/input/accessibility/save matrix; không missing string/softlock.</x:v>
      </x:c>
      <x:c r="E11" s="12" t="str">
        <x:v>REVIEWER_AGENT</x:v>
      </x:c>
      <x:c r="F11" s="12" t="str">
        <x:v>NO</x:v>
      </x:c>
      <x:c r="G11" s="12" t="str">
        <x:v>NOT_EVALUATED</x:v>
      </x:c>
    </x:row>
    <x:row r="12" ht="70" customHeight="1">
      <x:c r="A12" s="12" t="str">
        <x:v>G7</x:v>
      </x:c>
      <x:c r="B12" s="12" t="str">
        <x:v>S34</x:v>
      </x:c>
      <x:c r="C12" s="12" t="str">
        <x:v>Release GO / NO-GO</x:v>
      </x:c>
      <x:c r="D12" s="12" t="str">
        <x:v>G7_TECH: RC hash, Windows rendered QA, 0 Sev-0/1, manifests/licenses/backup. G7_PUBLIC: account/platform approvals và authorization đúng build; thiếu thì BLOCKED_EXTERNAL.</x:v>
      </x:c>
      <x:c r="E12" s="12" t="str">
        <x:v>REVIEWER_AGENT</x:v>
      </x:c>
      <x:c r="F12" s="12" t="str">
        <x:v>YES</x:v>
      </x:c>
      <x:c r="G12" s="12" t="str">
        <x:v>NOT_EVALUATED</x:v>
      </x:c>
    </x:row>
    <x:row r="13" ht="70" customHeight="1">
      <x:c r="A13" s="12" t="str">
        <x:v>G8</x:v>
      </x:c>
      <x:c r="B13" s="12" t="str">
        <x:v>S35</x:v>
      </x:c>
      <x:c r="C13" s="12" t="str">
        <x:v>Published 1.0</x:v>
      </x:c>
      <x:c r="D13" s="12" t="str">
        <x:v>Public build thực sự đã phát hành đúng channel, tải/cài/smoke từ nguồn phân phối thật; không đồng nhất upload private với published.</x:v>
      </x:c>
      <x:c r="E13" s="12" t="str">
        <x:v>REVIEWER_AGENT</x:v>
      </x:c>
      <x:c r="F13" s="12" t="str">
        <x:v>YES</x:v>
      </x:c>
      <x:c r="G13" s="12" t="str">
        <x:v>NOT_EVALUATED</x:v>
      </x:c>
    </x:row>
    <x:row r="14" ht="70" customHeight="1">
      <x:c r="A14" s="12" t="str">
        <x:v>G9</x:v>
      </x:c>
      <x:c r="B14" s="12" t="str">
        <x:v>S36</x:v>
      </x:c>
      <x:c r="C14" s="12" t="str">
        <x:v>Handover</x:v>
      </x:c>
      <x:c r="D14" s="12" t="str">
        <x:v>Source/asset sources/licenses/archive/rebuild/support handoff được kiểm; trạng thái technical/public ghi riêng, không ký thay người dùng.</x:v>
      </x:c>
      <x:c r="E14" s="12" t="str">
        <x:v>REVIEWER_AGENT</x:v>
      </x:c>
      <x:c r="F14" s="12" t="str">
        <x:v>NO</x:v>
      </x:c>
      <x:c r="G14" s="12" t="str">
        <x:v>NOT_EVALUATED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be8517b28734a1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65" hidden="0" customWidth="1"/>
    <x:col min="4" max="4" width="18" hidden="0" customWidth="1"/>
    <x:col min="5" max="5" width="50" hidden="0" customWidth="1"/>
    <x:col min="6" max="6" width="20" hidden="0" customWidth="1"/>
  </x:cols>
  <x:sheetData>
    <x:row r="1" ht="36" customHeight="1">
      <x:c r="A1" s="3" t="str">
        <x:v>FULL GAME / required outcomes</x:v>
      </x:c>
      <x:c r="B1" s="3"/>
      <x:c r="C1" s="3"/>
      <x:c r="D1" s="3"/>
      <x:c r="E1" s="3"/>
      <x:c r="F1" s="3"/>
    </x:row>
    <x:row r="2" ht="31" customHeight="1">
      <x:c r="A2" s="7" t="str">
        <x:v>Phạm vi không giảm thành prototype; mỗi yêu cầu được truy về story và gate.</x:v>
      </x:c>
      <x:c r="B2" s="7"/>
      <x:c r="C2" s="7"/>
      <x:c r="D2" s="7"/>
      <x:c r="E2" s="7"/>
      <x:c r="F2" s="7"/>
    </x:row>
    <x:row r="4" ht="32" customHeight="1">
      <x:c r="A4" s="18" t="str">
        <x:v>Requirement</x:v>
      </x:c>
      <x:c r="B4" s="18" t="str">
        <x:v>Title</x:v>
      </x:c>
      <x:c r="C4" s="18" t="str">
        <x:v>Acceptance</x:v>
      </x:c>
      <x:c r="D4" s="18" t="str">
        <x:v>Gates</x:v>
      </x:c>
      <x:c r="E4" s="18" t="str">
        <x:v>Stories</x:v>
      </x:c>
      <x:c r="F4" s="18" t="str">
        <x:v>Status</x:v>
      </x:c>
    </x:row>
    <x:row r="5" ht="76" customHeight="1">
      <x:c r="A5" s="12" t="str">
        <x:v>R01</x:v>
      </x:c>
      <x:c r="B5" s="12" t="str">
        <x:v>Campaign bảy đêm / bảy căn nhà</x:v>
      </x:c>
      <x:c r="C5" s="12" t="str">
        <x:v>CH1–CH7 có mở đầu, cao trào, hồi kết; liên thông bằng hub; tối thiểu một đường main hoàn thành từ New Game.</x:v>
      </x:c>
      <x:c r="D5" s="12" t="str">
        <x:v>G4/G7</x:v>
      </x:c>
      <x:c r="E5" s="12" t="str">
        <x:v>ST-0101, ST-0102, ST-0701, ST-1201, ST-1301, ST-1401, ST-1501, ST-1601, ST-1701, ST-1801, ST-1901, ST-2001, ST-2101, ST-2201, ST-2301, ST-2401, ST-2503, ST-2601, ST-2602, ST-2803</x:v>
      </x:c>
      <x:c r="F5" s="12" t="str">
        <x:v>NOT_VERIFIED</x:v>
      </x:c>
    </x:row>
    <x:row r="6" ht="76" customHeight="1">
      <x:c r="A6" s="12" t="str">
        <x:v>R02</x:v>
      </x:c>
      <x:c r="B6" s="12" t="str">
        <x:v>Ba ending hoàn chỉnh</x:v>
      </x:c>
      <x:c r="C6" s="12" t="str">
        <x:v>A, B, C đều playable, credits và checkpoint trước lựa chọn; 128 tổ hợp mảnh ký ức không khóa A/B.</x:v>
      </x:c>
      <x:c r="D6" s="12" t="str">
        <x:v>G4/G7</x:v>
      </x:c>
      <x:c r="E6" s="12" t="str">
        <x:v>ST-0102, ST-2501, ST-2502, ST-2504, ST-2601, ST-2602</x:v>
      </x:c>
      <x:c r="F6" s="12" t="str">
        <x:v>NOT_VERIFIED</x:v>
      </x:c>
    </x:row>
    <x:row r="7" ht="76" customHeight="1">
      <x:c r="A7" s="12" t="str">
        <x:v>R03</x:v>
      </x:c>
      <x:c r="B7" s="12" t="str">
        <x:v>Di chuyển và camera 2.5D</x:v>
      </x:c>
      <x:c r="C7" s="12" t="str">
        <x:v>CharacterBody3D trên X/Z; camera perspective theo vùng; keyboard/gamepad dùng được, không rơi/lạc ngoài map.</x:v>
      </x:c>
      <x:c r="D7" s="12" t="str">
        <x:v>G1/G2</x:v>
      </x:c>
      <x:c r="E7" s="12" t="str">
        <x:v>ST-0103, ST-0201, ST-0202, ST-0204, ST-1002</x:v>
      </x:c>
      <x:c r="F7" s="12" t="str">
        <x:v>NOT_VERIFIED</x:v>
      </x:c>
    </x:row>
    <x:row r="8" ht="76" customHeight="1">
      <x:c r="A8" s="12" t="str">
        <x:v>R04</x:v>
      </x:c>
      <x:c r="B8" s="12" t="str">
        <x:v>REAL/ERASED an toàn</x:v>
      </x:c>
      <x:c r="C8" s="12" t="str">
        <x:v>Một nguồn state; hình/physics/interaction/audio/AI đồng bộ; overlap hoặc thiếu sàn đích bị từ chối, không softlock.</x:v>
      </x:c>
      <x:c r="D8" s="12" t="str">
        <x:v>G1/G7</x:v>
      </x:c>
      <x:c r="E8" s="12" t="str">
        <x:v>ST-0301, ST-0302, ST-0303, ST-0304, ST-1101, ST-2701</x:v>
      </x:c>
      <x:c r="F8" s="12" t="str">
        <x:v>NOT_VERIFIED</x:v>
      </x:c>
    </x:row>
    <x:row r="9" ht="76" customHeight="1">
      <x:c r="A9" s="12" t="str">
        <x:v>R05</x:v>
      </x:c>
      <x:c r="B9" s="12" t="str">
        <x:v>Tương tác có ngữ cảnh</x:v>
      </x:c>
      <x:c r="C9" s="12" t="str">
        <x:v>Chỉ target đúng phase và trong tầm/line-of-sight; prompt rõ; spam không phát thưởng lặp. Closeup object inspect/flip/rotate, keyboard/pad equivalents, inventory inspect/combine/use đúng target; không tương tác xuyên vách.</x:v>
      </x:c>
      <x:c r="D9" s="12" t="str">
        <x:v>G1/G7</x:v>
      </x:c>
      <x:c r="E9" s="12" t="str">
        <x:v>ST-0401</x:v>
      </x:c>
      <x:c r="F9" s="12" t="str">
        <x:v>NOT_VERIFIED</x:v>
      </x:c>
    </x:row>
    <x:row r="10" ht="76" customHeight="1">
      <x:c r="A10" s="12" t="str">
        <x:v>R06</x:v>
      </x:c>
      <x:c r="B10" s="12" t="str">
        <x:v>28 puzzle: 14 CORE + 7 SUPPORT bắt buộc + 7 SECRET</x:v>
      </x:c>
      <x:c r="C10" s="12" t="str">
        <x:v>28 puzzle P01–P28: 14 CORE + 7 SUPPORT bắt buộc + 7 SECRET; mỗi chương 3 main-required + 1 secret; clue→inference→action rõ, hints3tầng tựnguyện; reload/negative/revisit. M01..M06 secret, M07 từ P25; thiếu secret không khóa A/B.</x:v>
      </x:c>
      <x:c r="D10" s="12" t="str">
        <x:v>G4/G5</x:v>
      </x:c>
      <x:c r="E10" s="12" t="str">
        <x:v>ST-0402, ST-0701, ST-0702, ST-1002, ST-1202, ST-1301, ST-1302, ST-1304, ST-1501, ST-1502, ST-1504, ST-1701, ST-1702, ST-1704, ST-1901, ST-1902, ST-1904, ST-2101, ST-2102, ST-2104, ST-2301, ST-2302, ST-2304, ST-2503, ST-2601, ST-2801</x:v>
      </x:c>
      <x:c r="F10" s="12" t="str">
        <x:v>NOT_VERIFIED</x:v>
      </x:c>
    </x:row>
    <x:row r="11" ht="76" customHeight="1">
      <x:c r="A11" s="12" t="str">
        <x:v>R07</x:v>
      </x:c>
      <x:c r="B11" s="12" t="str">
        <x:v>Kể chuyện và bằng chứng</x:v>
      </x:c>
      <x:c r="C11" s="12" t="str">
        <x:v>Dialogue có điều kiện, cinematic skip an toàn, journal 28 evidence IDs; reveal nhất quán với canon đã duyệt.</x:v>
      </x:c>
      <x:c r="D11" s="12" t="str">
        <x:v>G3/G4</x:v>
      </x:c>
      <x:c r="E11" s="12" t="str">
        <x:v>ST-0501, ST-0504, ST-0601, ST-0602, ST-0604, ST-1201, ST-1202, ST-1304, ST-1401, ST-1504, ST-1601, ST-1704, ST-1801, ST-1904, ST-2001, ST-2104, ST-2201, ST-2304, ST-2401, ST-2501, ST-2802</x:v>
      </x:c>
      <x:c r="F11" s="12" t="str">
        <x:v>NOT_VERIFIED</x:v>
      </x:c>
    </x:row>
    <x:row r="12" ht="76" customHeight="1">
      <x:c r="A12" s="12" t="str">
        <x:v>R08</x:v>
      </x:c>
      <x:c r="B12" s="12" t="str">
        <x:v>Save và phục hồi tiến trình</x:v>
      </x:c>
      <x:c r="C12" s="12" t="str">
        <x:v>Ba slot, autosave/checkpoint, version/schema/backup; load khôi phục phase/puzzle/flags; không mất save trong patch.</x:v>
      </x:c>
      <x:c r="D12" s="12" t="str">
        <x:v>G3/G7</x:v>
      </x:c>
      <x:c r="E12" s="12" t="str">
        <x:v>ST-0502, ST-0504, ST-0602, ST-0702, ST-0802, ST-0901, ST-1101, ST-1102, ST-1202, ST-1302, ST-1304, ST-1502, ST-1504, ST-1702, ST-1704, ST-1902, ST-1904, ST-2102, ST-2104, ST-2302, ST-2304, ST-2502, ST-2602, ST-2702, ST-3303, ST-3503</x:v>
      </x:c>
      <x:c r="F12" s="12" t="str">
        <x:v>NOT_VERIFIED</x:v>
      </x:c>
    </x:row>
    <x:row r="13" ht="76" customHeight="1">
      <x:c r="A13" s="12" t="str">
        <x:v>R09</x:v>
      </x:c>
      <x:c r="B13" s="12" t="str">
        <x:v>Stealth không combat</x:v>
      </x:c>
      <x:c r="C13" s="12" t="str">
        <x:v>Kẻ Gõ Cửa có tuần tra/phát hiện/tìm kiếm; cảnh giới có tín hiệu; capture trả checkpoint không xóa clue.</x:v>
      </x:c>
      <x:c r="D13" s="12" t="str">
        <x:v>G2/G5</x:v>
      </x:c>
      <x:c r="E13" s="12" t="str">
        <x:v>ST-0801, ST-0802, ST-0803, ST-0804, ST-1002, ST-1401, ST-1601, ST-1801, ST-2001, ST-2201, ST-2401, ST-2701, ST-2802</x:v>
      </x:c>
      <x:c r="F13" s="12" t="str">
        <x:v>NOT_VERIFIED</x:v>
      </x:c>
    </x:row>
    <x:row r="14" ht="76" customHeight="1">
      <x:c r="A14" s="12" t="str">
        <x:v>R10</x:v>
      </x:c>
      <x:c r="B14" s="12" t="str">
        <x:v>Menu, settings và input</x:v>
      </x:c>
      <x:c r="C14" s="12" t="str">
        <x:v>New/Continue/load/pause/quit; rebind, pad hotplug, focus UI và âm lượng; settings tồn tại sau restart.</x:v>
      </x:c>
      <x:c r="D14" s="12" t="str">
        <x:v>G2/G6</x:v>
      </x:c>
      <x:c r="E14" s="12" t="str">
        <x:v>ST-0901, ST-0902, ST-1203, ST-3003</x:v>
      </x:c>
      <x:c r="F14" s="12" t="str">
        <x:v>NOT_VERIFIED</x:v>
      </x:c>
    </x:row>
    <x:row r="15" ht="76" customHeight="1">
      <x:c r="A15" s="12" t="str">
        <x:v>R11</x:v>
      </x:c>
      <x:c r="B15" s="12" t="str">
        <x:v>Accessibility tối thiểu</x:v>
      </x:c>
      <x:c r="C15" s="12" t="str">
        <x:v>Text size, subtitle, contrast nhận biết phase không chỉ bằng màu; cue âm thanh có cue hình; giảm rung/chớp.</x:v>
      </x:c>
      <x:c r="D15" s="12" t="str">
        <x:v>G6/G7</x:v>
      </x:c>
      <x:c r="E15" s="12" t="str">
        <x:v>ST-0601, ST-0902, ST-1203, ST-1403, ST-1603, ST-1803, ST-2003, ST-2203, ST-2403, ST-2902, ST-3002, ST-3003</x:v>
      </x:c>
      <x:c r="F15" s="12" t="str">
        <x:v>NOT_VERIFIED</x:v>
      </x:c>
    </x:row>
    <x:row r="16" ht="76" customHeight="1">
      <x:c r="A16" s="12" t="str">
        <x:v>R12</x:v>
      </x:c>
      <x:c r="B16" s="12" t="str">
        <x:v>Art 3D đồng nhất</x:v>
      </x:c>
      <x:c r="C16" s="12" t="str">
        <x:v>Minh/An/Knocker + NPC biến thể, 7 nhà và khu phụ đủ art; REAL/ERASED có ngôn ngữ hình; không critical placeholder.</x:v>
      </x:c>
      <x:c r="D16" s="12" t="str">
        <x:v>G4/G7</x:v>
      </x:c>
      <x:c r="E16" s="12" t="str">
        <x:v>ST-0203, ST-0303, ST-0503, ST-0603, ST-0703, ST-0803, ST-0903, ST-1003, ST-1103, ST-1303, ST-1402, ST-1503, ST-1602, ST-1703, ST-1802, ST-1903, ST-2002, ST-2103, ST-2202, ST-2303, ST-2402, ST-2503, ST-2603, ST-2704, ST-3103</x:v>
      </x:c>
      <x:c r="F16" s="12" t="str">
        <x:v>NOT_VERIFIED</x:v>
      </x:c>
    </x:row>
    <x:row r="17" ht="76" customHeight="1">
      <x:c r="A17" s="12" t="str">
        <x:v>R13</x:v>
      </x:c>
      <x:c r="B17" s="12" t="str">
        <x:v>Audio hoàn chỉnh</x:v>
      </x:c>
      <x:c r="C17" s="12" t="str">
        <x:v>Ambience REAL/ERASED, footsteps, interaction, UI, danger, bells và ending cues; mix không che thông tin.</x:v>
      </x:c>
      <x:c r="D17" s="12" t="str">
        <x:v>G4/G7</x:v>
      </x:c>
      <x:c r="E17" s="12" t="str">
        <x:v>ST-0303, ST-0604, ST-0704, ST-1003, ST-1403, ST-1603, ST-1803, ST-2003, ST-2203, ST-2403, ST-2603, ST-2804</x:v>
      </x:c>
      <x:c r="F17" s="12" t="str">
        <x:v>NOT_VERIFIED</x:v>
      </x:c>
    </x:row>
    <x:row r="18" ht="76" customHeight="1">
      <x:c r="A18" s="12" t="str">
        <x:v>R14</x:v>
      </x:c>
      <x:c r="B18" s="12" t="str">
        <x:v>Chất lượng và hiệu năng có đo</x:v>
      </x:c>
      <x:c r="C18" s="12" t="str">
        <x:v>Không Sev-0/1; end-to-end/soak/recovery trên exported Windows; mục tiêu 1080p 60 FPS trên cấu hình benchmark được khóa.</x:v>
      </x:c>
      <x:c r="D18" s="12" t="str">
        <x:v>G5/G7</x:v>
      </x:c>
      <x:c r="E18" s="12" t="str">
        <x:v>ST-0204, ST-0304, ST-0403, ST-0404, ST-0804, ST-0903, ST-0904, ST-1001, ST-1101, ST-1404, ST-1604, ST-1804, ST-2004, ST-2204, ST-2404, ST-2504, ST-2604, ST-2703, ST-2704, ST-2804, ST-3004, ST-3101, ST-3102, ST-3103, ST-3104, ST-3304, ST-3401, ST-3601</x:v>
      </x:c>
      <x:c r="F18" s="12" t="str">
        <x:v>NOT_VERIFIED</x:v>
      </x:c>
    </x:row>
    <x:row r="19" ht="76" customHeight="1">
      <x:c r="A19" s="12" t="str">
        <x:v>R15</x:v>
      </x:c>
      <x:c r="B19" s="12" t="str">
        <x:v>Phân phối và support</x:v>
      </x:c>
      <x:c r="C19" s="12" t="str">
        <x:v>Store thông tin đúng, duyệt nền tảng, public build cài được, runbook release/rollback và kênh bug report.</x:v>
      </x:c>
      <x:c r="D19" s="12" t="str">
        <x:v>G7/G8/G9</x:v>
      </x:c>
      <x:c r="E19" s="12" t="str">
        <x:v>ST-1104, ST-1405, ST-2005, ST-3201, ST-3202, ST-3203, ST-3204, ST-3302, ST-3303, ST-3304, ST-3402, ST-3403, ST-3501, ST-3502, ST-3503, ST-3601</x:v>
      </x:c>
      <x:c r="F19" s="12" t="str">
        <x:v>NOT_VERIFIED</x:v>
      </x:c>
    </x:row>
    <x:row r="20" ht="76" customHeight="1">
      <x:c r="A20" s="12" t="str">
        <x:v>R16</x:v>
      </x:c>
      <x:c r="B20" s="12" t="str">
        <x:v>Việt / Anh</x:v>
      </x:c>
      <x:c r="C20" s="12" t="str">
        <x:v>Tất cả text người chơi thấy có key, VI/EN hoàn chỉnh và LQA; không cắt câu, thiếu dấu hoặc lộ key.</x:v>
      </x:c>
      <x:c r="D20" s="12" t="str">
        <x:v>G6/G7</x:v>
      </x:c>
      <x:c r="E20" s="12" t="str">
        <x:v>ST-0601, ST-1203, ST-2803, ST-2804, ST-2901, ST-2902, ST-2903, ST-2904, ST-3001, ST-3002</x:v>
      </x:c>
      <x:c r="F20" s="12" t="str">
        <x:v>NOT_VERIFIED</x:v>
      </x:c>
    </x:row>
    <x:row r="21" ht="76" customHeight="1">
      <x:c r="A21" s="12" t="str">
        <x:v>R17</x:v>
      </x:c>
      <x:c r="B21" s="12" t="str">
        <x:v>Build, quyền sử dụng và bàn giao</x:v>
      </x:c>
      <x:c r="C21" s="12" t="str">
        <x:v>Source + LFS + assets gốc + license + credits + pinned toolchain; clean checkout tái tạo build, credentials không public.</x:v>
      </x:c>
      <x:c r="D21" s="12" t="str">
        <x:v>G7/G9</x:v>
      </x:c>
      <x:c r="E21" s="12" t="str">
        <x:v>ST-0103, ST-0904, ST-1103, ST-1104, ST-1204, ST-2603, ST-2904, ST-3202, ST-3203, ST-3204, ST-3301, ST-3302, ST-3401, ST-3403, ST-3501, ST-3602</x:v>
      </x:c>
      <x:c r="F21" s="12" t="str">
        <x:v>NOT_VERIFIED</x:v>
      </x:c>
    </x:row>
    <x:row r="22" ht="76" customHeight="1">
      <x:c r="A22" s="12" t="str">
        <x:v>R18</x:v>
      </x:c>
      <x:c r="B22" s="12" t="str">
        <x:v>Quản trị nghiệm thu</x:v>
      </x:c>
      <x:c r="C22" s="12" t="str">
        <x:v>Ledger, dependencies, agent review, capability/permission blockers và handoff có evidence; không tự nhận quyền public; actual cost chỉ từ dữ liệu thực.</x:v>
      </x:c>
      <x:c r="D22" s="12" t="str">
        <x:v>G0–G9</x:v>
      </x:c>
      <x:c r="E22" s="12" t="str">
        <x:v>ST-0101, ST-0104, ST-0404, ST-1004, ST-1204, ST-1404, ST-1604, ST-1804, ST-2004, ST-2204, ST-2404, ST-2604, ST-3004, ST-3404, ST-3504, ST-3603, ST-3604</x:v>
      </x:c>
      <x:c r="F22" s="12" t="str">
        <x:v>NOT_VERIFIED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d470d540d7f4dfd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32" hidden="0" customWidth="1"/>
    <x:col min="4" max="4" width="38" hidden="0" customWidth="1"/>
    <x:col min="5" max="5" width="32" hidden="0" customWidth="1"/>
    <x:col min="6" max="6" width="12" hidden="0" customWidth="1"/>
    <x:col min="7" max="7" width="19" hidden="0" customWidth="1"/>
    <x:col min="8" max="8" width="12" hidden="0" customWidth="1"/>
    <x:col min="9" max="9" width="13" hidden="0" customWidth="1"/>
    <x:col min="10" max="10" width="42" hidden="0" customWidth="1"/>
  </x:cols>
  <x:sheetData>
    <x:row r="1" ht="36" customHeight="1">
      <x:c r="A1" s="3" t="str">
        <x:v>CAMPAIGN / seven nights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1" customHeight="1">
      <x:c r="A2" s="7" t="str">
        <x:v>7 chapters; 28 puzzles (21 required, 7 secret); 7 memories; 28 journal records; 3 endings.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8" t="str">
        <x:v>Chapter</x:v>
      </x:c>
      <x:c r="B4" s="18" t="str">
        <x:v>House</x:v>
      </x:c>
      <x:c r="C4" s="18" t="str">
        <x:v>Title</x:v>
      </x:c>
      <x:c r="D4" s="18" t="str">
        <x:v>Zone</x:v>
      </x:c>
      <x:c r="E4" s="18" t="str">
        <x:v>Puzzles</x:v>
      </x:c>
      <x:c r="F4" s="18" t="str">
        <x:v>Memory</x:v>
      </x:c>
      <x:c r="G4" s="18" t="str">
        <x:v>Main evidence</x:v>
      </x:c>
      <x:c r="H4" s="18" t="str">
        <x:v>Greybox</x:v>
      </x:c>
      <x:c r="I4" s="18" t="str">
        <x:v>Complete</x:v>
      </x:c>
      <x:c r="J4" s="18" t="str">
        <x:v>Exit condition</x:v>
      </x:c>
    </x:row>
    <x:row r="5" ht="60" customHeight="1">
      <x:c r="A5" s="12" t="str">
        <x:v>CH01</x:v>
      </x:c>
      <x:c r="B5" s="12" t="str">
        <x:v>H01</x:v>
      </x:c>
      <x:c r="C5" s="12" t="str">
        <x:v>Họ đã từng ở đây</x:v>
      </x:c>
      <x:c r="D5" s="12" t="str">
        <x:v>Phòng mẹ / cửa hàng ông Nhân / sân / xưởng mộc ông Kha / hộc bên</x:v>
      </x:c>
      <x:c r="E5" s="12" t="str">
        <x:v>P01–P04 (3 main + 1 secret)</x:v>
      </x:c>
      <x:c r="F5" s="12" t="str">
        <x:v>M01</x:v>
      </x:c>
      <x:c r="G5" s="12" t="str">
        <x:v>E01, E02</x:v>
      </x:c>
      <x:c r="H5" s="12" t="str">
        <x:v>S07</x:v>
      </x:c>
      <x:c r="I5" s="12" t="str">
        <x:v>S10 / audit S25</x:v>
      </x:c>
      <x:c r="J5" s="12" t="str">
        <x:v>p01_solved AND p02_solved AND p03_solved</x:v>
      </x:c>
    </x:row>
    <x:row r="6" ht="60" customHeight="1">
      <x:c r="A6" s="12" t="str">
        <x:v>CH02</x:v>
      </x:c>
      <x:c r="B6" s="12" t="str">
        <x:v>H02</x:v>
      </x:c>
      <x:c r="C6" s="12" t="str">
        <x:v>Bữa cơm thiếu một người</x:v>
      </x:c>
      <x:c r="D6" s="12" t="str">
        <x:v>Sân chung / bàn ăn / bếp / phòng Hạnh / phòng cất đồ</x:v>
      </x:c>
      <x:c r="E6" s="12" t="str">
        <x:v>P05–P08 (3 main + 1 secret)</x:v>
      </x:c>
      <x:c r="F6" s="12" t="str">
        <x:v>M02</x:v>
      </x:c>
      <x:c r="G6" s="12" t="str">
        <x:v>E03, E04</x:v>
      </x:c>
      <x:c r="H6" s="12" t="str">
        <x:v>S13</x:v>
      </x:c>
      <x:c r="I6" s="12" t="str">
        <x:v>S14</x:v>
      </x:c>
      <x:c r="J6" s="12" t="str">
        <x:v>p05_solved AND p06_solved AND p07_solved</x:v>
      </x:c>
    </x:row>
    <x:row r="7" ht="60" customHeight="1">
      <x:c r="A7" s="12" t="str">
        <x:v>CH03</x:v>
      </x:c>
      <x:c r="B7" s="12" t="str">
        <x:v>H03</x:v>
      </x:c>
      <x:c r="C7" s="12" t="str">
        <x:v>Dấu nước trên tường</x:v>
      </x:c>
      <x:c r="D7" s="12" t="str">
        <x:v>Bến / kho cùng bờ A / cầu / chòi lái đò / phòng đo nước</x:v>
      </x:c>
      <x:c r="E7" s="12" t="str">
        <x:v>P09–P12 (3 main + 1 secret)</x:v>
      </x:c>
      <x:c r="F7" s="12" t="str">
        <x:v>M03</x:v>
      </x:c>
      <x:c r="G7" s="12" t="str">
        <x:v>E05, E06</x:v>
      </x:c>
      <x:c r="H7" s="12" t="str">
        <x:v>S15</x:v>
      </x:c>
      <x:c r="I7" s="12" t="str">
        <x:v>S16</x:v>
      </x:c>
      <x:c r="J7" s="12" t="str">
        <x:v>p09_solved AND p10_solved AND p11_solved</x:v>
      </x:c>
    </x:row>
    <x:row r="8" ht="60" customHeight="1">
      <x:c r="A8" s="12" t="str">
        <x:v>CH04</x:v>
      </x:c>
      <x:c r="B8" s="12" t="str">
        <x:v>H04</x:v>
      </x:c>
      <x:c r="C8" s="12" t="str">
        <x:v>Ngôi trường không tồn tại</x:v>
      </x:c>
      <x:c r="D8" s="12" t="str">
        <x:v>H04 / lớp 3A / phòng mỹ thuật / phòng âm nhạc / archive / cửa sau</x:v>
      </x:c>
      <x:c r="E8" s="12" t="str">
        <x:v>P13–P16 (3 main + 1 secret)</x:v>
      </x:c>
      <x:c r="F8" s="12" t="str">
        <x:v>M04</x:v>
      </x:c>
      <x:c r="G8" s="12" t="str">
        <x:v>E07, E08</x:v>
      </x:c>
      <x:c r="H8" s="12" t="str">
        <x:v>S17</x:v>
      </x:c>
      <x:c r="I8" s="12" t="str">
        <x:v>S18</x:v>
      </x:c>
      <x:c r="J8" s="12" t="str">
        <x:v>p13_solved AND p14_solved AND p15_solved</x:v>
      </x:c>
    </x:row>
    <x:row r="9" ht="60" customHeight="1">
      <x:c r="A9" s="12" t="str">
        <x:v>CH05</x:v>
      </x:c>
      <x:c r="B9" s="12" t="str">
        <x:v>H05</x:v>
      </x:c>
      <x:c r="C9" s="12" t="str">
        <x:v>Những trang mẹ giấu</x:v>
      </x:c>
      <x:c r="D9" s="12" t="str">
        <x:v>H05 / phòng thư / phòng mẹ / mô hình neo / sân sau</x:v>
      </x:c>
      <x:c r="E9" s="12" t="str">
        <x:v>P17–P20 (3 main + 1 secret)</x:v>
      </x:c>
      <x:c r="F9" s="12" t="str">
        <x:v>M05</x:v>
      </x:c>
      <x:c r="G9" s="12" t="str">
        <x:v>E09, E10</x:v>
      </x:c>
      <x:c r="H9" s="12" t="str">
        <x:v>S19</x:v>
      </x:c>
      <x:c r="I9" s="12" t="str">
        <x:v>S20</x:v>
      </x:c>
      <x:c r="J9" s="12" t="str">
        <x:v>p17_solved AND p18_solved AND p19_solved</x:v>
      </x:c>
    </x:row>
    <x:row r="10" ht="60" customHeight="1">
      <x:c r="A10" s="12" t="str">
        <x:v>CH06</x:v>
      </x:c>
      <x:c r="B10" s="12" t="str">
        <x:v>H06</x:v>
      </x:c>
      <x:c r="C10" s="12" t="str">
        <x:v>Người mặc áo mưa vàng</x:v>
      </x:c>
      <x:c r="D10" s="12" t="str">
        <x:v>H06 / chuông mẫu / cơ khí / đối trọng / buồng ký ức / tháp</x:v>
      </x:c>
      <x:c r="E10" s="12" t="str">
        <x:v>P21–P24 (3 main + 1 secret)</x:v>
      </x:c>
      <x:c r="F10" s="12" t="str">
        <x:v>M06</x:v>
      </x:c>
      <x:c r="G10" s="12" t="str">
        <x:v>E11, E12</x:v>
      </x:c>
      <x:c r="H10" s="12" t="str">
        <x:v>S21</x:v>
      </x:c>
      <x:c r="I10" s="12" t="str">
        <x:v>S22</x:v>
      </x:c>
      <x:c r="J10" s="12" t="str">
        <x:v>p21_solved AND p22_solved AND p23_solved</x:v>
      </x:c>
    </x:row>
    <x:row r="11" ht="60" customHeight="1">
      <x:c r="A11" s="12" t="str">
        <x:v>CH07</x:v>
      </x:c>
      <x:c r="B11" s="12" t="str">
        <x:v>H07</x:v>
      </x:c>
      <x:c r="C11" s="12" t="str">
        <x:v>Cánh cửa thứ bảy</x:v>
      </x:c>
      <x:c r="D11" s="12" t="str">
        <x:v>H07 / hộp tuổi thơ / cửa lõi / bàn bản đồ / record sơ tán / đồi</x:v>
      </x:c>
      <x:c r="E11" s="12" t="str">
        <x:v>P25–P28 (3 main + 1 secret)</x:v>
      </x:c>
      <x:c r="F11" s="12" t="str">
        <x:v>M07</x:v>
      </x:c>
      <x:c r="G11" s="12" t="str">
        <x:v>E13, E14</x:v>
      </x:c>
      <x:c r="H11" s="12" t="str">
        <x:v>S23</x:v>
      </x:c>
      <x:c r="I11" s="12" t="str">
        <x:v>S24</x:v>
      </x:c>
      <x:c r="J11" s="12" t="str">
        <x:v>p25_solved AND p26_solved AND p28_resolution_complete AND credits_reachable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3769c9423e944c4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50" hidden="0" customWidth="1"/>
    <x:col min="4" max="4" width="55" hidden="0" customWidth="1"/>
    <x:col min="5" max="5" width="30" hidden="0" customWidth="1"/>
    <x:col min="6" max="6" width="14" hidden="0" customWidth="1"/>
    <x:col min="7" max="7" width="15" hidden="0" customWidth="1"/>
    <x:col min="8" max="8" width="19" hidden="0" customWidth="1"/>
  </x:cols>
  <x:sheetData>
    <x:row r="1" ht="36" customHeight="1">
      <x:c r="A1" s="3" t="str">
        <x:v>VERIFICATION / no synthetic passes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7" t="str">
        <x:v>Đây là test cases chưa chạy. Kiểm thử helper tools không phải kết quả game QA.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8" t="str">
        <x:v>QA ID</x:v>
      </x:c>
      <x:c r="B4" s="18" t="str">
        <x:v>Area</x:v>
      </x:c>
      <x:c r="C4" s="18" t="str">
        <x:v>Scenario</x:v>
      </x:c>
      <x:c r="D4" s="18" t="str">
        <x:v>Expected</x:v>
      </x:c>
      <x:c r="E4" s="18" t="str">
        <x:v>Verification mode</x:v>
      </x:c>
      <x:c r="F4" s="18" t="str">
        <x:v>First wave</x:v>
      </x:c>
      <x:c r="G4" s="18" t="str">
        <x:v>Gate</x:v>
      </x:c>
      <x:c r="H4" s="18" t="str">
        <x:v>Status</x:v>
      </x:c>
    </x:row>
    <x:row r="5" ht="70" customHeight="1">
      <x:c r="A5" s="12" t="str">
        <x:v>QA-001</x:v>
      </x:c>
      <x:c r="B5" s="12" t="str">
        <x:v>Build</x:v>
      </x:c>
      <x:c r="C5" s="12" t="str">
        <x:v>Clean checkout + import + Windows export</x:v>
      </x:c>
      <x:c r="D5" s="12" t="str">
        <x:v>Không thiếu assets/data; executable chạy ngoài editor</x:v>
      </x:c>
      <x:c r="E5" s="12" t="str">
        <x:v>Auto + Runtime có render</x:v>
      </x:c>
      <x:c r="F5" s="12" t="str">
        <x:v>S01</x:v>
      </x:c>
      <x:c r="G5" s="12" t="str">
        <x:v>G0/G7</x:v>
      </x:c>
      <x:c r="H5" s="12" t="str">
        <x:v>NOT_TESTED</x:v>
      </x:c>
      <x:c r="I5" t="str"/>
    </x:row>
    <x:row r="6" ht="70" customHeight="1">
      <x:c r="A6" s="12" t="str">
        <x:v>QA-002</x:v>
      </x:c>
      <x:c r="B6" s="12" t="str">
        <x:v>Movement</x:v>
      </x:c>
      <x:c r="C6" s="12" t="str">
        <x:v>Đi thẳng/chéo 5 giây ở 30/60/120FPS</x:v>
      </x:c>
      <x:c r="D6" s="12" t="str">
        <x:v>Sai lệch quãng đường thẳng/chéo &lt;=5%; không phụ thuộc FPS</x:v>
      </x:c>
      <x:c r="E6" s="12" t="str">
        <x:v>Auto + Runtime có render</x:v>
      </x:c>
      <x:c r="F6" s="12" t="str">
        <x:v>S02</x:v>
      </x:c>
      <x:c r="G6" s="12" t="str">
        <x:v>G1</x:v>
      </x:c>
      <x:c r="H6" s="12" t="str">
        <x:v>NOT_TESTED</x:v>
      </x:c>
      <x:c r="I6" t="str"/>
    </x:row>
    <x:row r="7" ht="70" customHeight="1">
      <x:c r="A7" s="12" t="str">
        <x:v>QA-003</x:v>
      </x:c>
      <x:c r="B7" s="12" t="str">
        <x:v>Camera</x:v>
      </x:c>
      <x:c r="C7" s="12" t="str">
        <x:v>Đi qua camera zones ở 16:9/16:10/21:9</x:v>
      </x:c>
      <x:c r="D7" s="12" t="str">
        <x:v>Không đảo hướng input, che clue hoặc lộ ngoài map</x:v>
      </x:c>
      <x:c r="E7" s="12" t="str">
        <x:v>Runtime có render</x:v>
      </x:c>
      <x:c r="F7" s="12" t="str">
        <x:v>S02</x:v>
      </x:c>
      <x:c r="G7" s="12" t="str">
        <x:v>G1/G6</x:v>
      </x:c>
      <x:c r="H7" s="12" t="str">
        <x:v>NOT_TESTED</x:v>
      </x:c>
      <x:c r="I7" t="str"/>
    </x:row>
    <x:row r="8" ht="70" customHeight="1">
      <x:c r="A8" s="12" t="str">
        <x:v>QA-004</x:v>
      </x:c>
      <x:c r="B8" s="12" t="str">
        <x:v>World</x:v>
      </x:c>
      <x:c r="C8" s="12" t="str">
        <x:v>Switch khi target capsule bị tường/cửa chiếm</x:v>
      </x:c>
      <x:c r="D8" s="12" t="str">
        <x:v>Reject giữ nguyên world/pose; có phản hồi</x:v>
      </x:c>
      <x:c r="E8" s="12" t="str">
        <x:v>Auto + Runtime có render</x:v>
      </x:c>
      <x:c r="F8" s="12" t="str">
        <x:v>S03</x:v>
      </x:c>
      <x:c r="G8" s="12" t="str">
        <x:v>G1/G7</x:v>
      </x:c>
      <x:c r="H8" s="12" t="str">
        <x:v>NOT_TESTED</x:v>
      </x:c>
      <x:c r="I8" t="str"/>
    </x:row>
    <x:row r="9" ht="70" customHeight="1">
      <x:c r="A9" s="12" t="str">
        <x:v>QA-005</x:v>
      </x:c>
      <x:c r="B9" s="12" t="str">
        <x:v>World</x:v>
      </x:c>
      <x:c r="C9" s="12" t="str">
        <x:v>Switch khi floor target không tồn tại</x:v>
      </x:c>
      <x:c r="D9" s="12" t="str">
        <x:v>Không rơi xuống void hoặc teleport vượt puzzle; reject/anchor theo design</x:v>
      </x:c>
      <x:c r="E9" s="12" t="str">
        <x:v>Auto + Runtime có render</x:v>
      </x:c>
      <x:c r="F9" s="12" t="str">
        <x:v>S03</x:v>
      </x:c>
      <x:c r="G9" s="12" t="str">
        <x:v>G1/G7</x:v>
      </x:c>
      <x:c r="H9" s="12" t="str">
        <x:v>NOT_TESTED</x:v>
      </x:c>
      <x:c r="I9" t="str"/>
    </x:row>
    <x:row r="10" ht="70" customHeight="1">
      <x:c r="A10" s="12" t="str">
        <x:v>QA-006</x:v>
      </x:c>
      <x:c r="B10" s="12" t="str">
        <x:v>World</x:v>
      </x:c>
      <x:c r="C10" s="12" t="str">
        <x:v>200 switch nhanh xen movement/interact/pause</x:v>
      </x:c>
      <x:c r="D10" s="12" t="str">
        <x:v>Không lệch collision/visual/audio/AI; không input lock vĩnh viễn</x:v>
      </x:c>
      <x:c r="E10" s="12" t="str">
        <x:v>Auto + Runtime có render</x:v>
      </x:c>
      <x:c r="F10" s="12" t="str">
        <x:v>S03</x:v>
      </x:c>
      <x:c r="G10" s="12" t="str">
        <x:v>G1/G7</x:v>
      </x:c>
      <x:c r="H10" s="12" t="str">
        <x:v>NOT_TESTED</x:v>
      </x:c>
      <x:c r="I10" t="str"/>
    </x:row>
    <x:row r="11" ht="70" customHeight="1">
      <x:c r="A11" s="12" t="str">
        <x:v>QA-007</x:v>
      </x:c>
      <x:c r="B11" s="12" t="str">
        <x:v>Interaction</x:v>
      </x:c>
      <x:c r="C11" s="12" t="str">
        <x:v>Spam E, target sau tường, object sai phase</x:v>
      </x:c>
      <x:c r="D11" s="12" t="str">
        <x:v>Một target hợp lệ; không lấy đồ từ phase khác/qua tường</x:v>
      </x:c>
      <x:c r="E11" s="12" t="str">
        <x:v>Auto + Runtime có render</x:v>
      </x:c>
      <x:c r="F11" s="12" t="str">
        <x:v>S04</x:v>
      </x:c>
      <x:c r="G11" s="12" t="str">
        <x:v>G1</x:v>
      </x:c>
      <x:c r="H11" s="12" t="str">
        <x:v>NOT_TESTED</x:v>
      </x:c>
      <x:c r="I11" t="str"/>
    </x:row>
    <x:row r="12" ht="70" customHeight="1">
      <x:c r="A12" s="12" t="str">
        <x:v>QA-008</x:v>
      </x:c>
      <x:c r="B12" s="12" t="str">
        <x:v>P0</x:v>
      </x:c>
      <x:c r="C12" s="12" t="str">
        <x:v>Complete → reset → complete; save tại key/door/photo</x:v>
      </x:c>
      <x:c r="D12" s="12" t="str">
        <x:v>Không softlock, duplicate key hoặc mất clue</x:v>
      </x:c>
      <x:c r="E12" s="12" t="str">
        <x:v>Auto + Runtime có render</x:v>
      </x:c>
      <x:c r="F12" s="12" t="str">
        <x:v>S04</x:v>
      </x:c>
      <x:c r="G12" s="12" t="str">
        <x:v>G1/G2</x:v>
      </x:c>
      <x:c r="H12" s="12" t="str">
        <x:v>NOT_TESTED</x:v>
      </x:c>
      <x:c r="I12" t="str"/>
    </x:row>
    <x:row r="13" ht="70" customHeight="1">
      <x:c r="A13" s="12" t="str">
        <x:v>QA-009</x:v>
      </x:c>
      <x:c r="B13" s="12" t="str">
        <x:v>Story</x:v>
      </x:c>
      <x:c r="C13" s="12" t="str">
        <x:v>Trigger nhiều lần / reload khu đã qua</x:v>
      </x:c>
      <x:c r="D13" s="12" t="str">
        <x:v>Cinematic/reward/house erased commit một lần</x:v>
      </x:c>
      <x:c r="E13" s="12" t="str">
        <x:v>Auto + Runtime có render</x:v>
      </x:c>
      <x:c r="F13" s="12" t="str">
        <x:v>S05</x:v>
      </x:c>
      <x:c r="G13" s="12" t="str">
        <x:v>G3/G7</x:v>
      </x:c>
      <x:c r="H13" s="12" t="str">
        <x:v>NOT_TESTED</x:v>
      </x:c>
      <x:c r="I13" t="str"/>
    </x:row>
    <x:row r="14" ht="70" customHeight="1">
      <x:c r="A14" s="12" t="str">
        <x:v>QA-010</x:v>
      </x:c>
      <x:c r="B14" s="12" t="str">
        <x:v>Save</x:v>
      </x:c>
      <x:c r="C14" s="12" t="str">
        <x:v>Crash/write failure/corrupt JSON và backup</x:v>
      </x:c>
      <x:c r="D14" s="12" t="str">
        <x:v>Báo lỗi có nghĩa; backup phục hồi; không reset slot âm thầm</x:v>
      </x:c>
      <x:c r="E14" s="12" t="str">
        <x:v>Auto + Runtime có render</x:v>
      </x:c>
      <x:c r="F14" s="12" t="str">
        <x:v>S05</x:v>
      </x:c>
      <x:c r="G14" s="12" t="str">
        <x:v>G3/G7</x:v>
      </x:c>
      <x:c r="H14" s="12" t="str">
        <x:v>NOT_TESTED</x:v>
      </x:c>
      <x:c r="I14" t="str"/>
    </x:row>
    <x:row r="15" ht="70" customHeight="1">
      <x:c r="A15" s="12" t="str">
        <x:v>QA-011</x:v>
      </x:c>
      <x:c r="B15" s="12" t="str">
        <x:v>Save</x:v>
      </x:c>
      <x:c r="C15" s="12" t="str">
        <x:v>Load từ nhiều schema/build fixture</x:v>
      </x:c>
      <x:c r="D15" s="12" t="str">
        <x:v>Migration đúng; unsupported version có thông báo không hủy dữ liệu</x:v>
      </x:c>
      <x:c r="E15" s="12" t="str">
        <x:v>Auto</x:v>
      </x:c>
      <x:c r="F15" s="12" t="str">
        <x:v>S11</x:v>
      </x:c>
      <x:c r="G15" s="12" t="str">
        <x:v>G3/G7</x:v>
      </x:c>
      <x:c r="H15" s="12" t="str">
        <x:v>NOT_TESTED</x:v>
      </x:c>
      <x:c r="I15" t="str"/>
    </x:row>
    <x:row r="16" ht="70" customHeight="1">
      <x:c r="A16" s="12" t="str">
        <x:v>QA-012</x:v>
      </x:c>
      <x:c r="B16" s="12" t="str">
        <x:v>Save</x:v>
      </x:c>
      <x:c r="C16" s="12" t="str">
        <x:v>3 slot xen kẽ, checkpoint/final choice</x:v>
      </x:c>
      <x:c r="D16" s="12" t="str">
        <x:v>Không trộn người chơi/slot; spawn/camera/phase hợp lệ</x:v>
      </x:c>
      <x:c r="E16" s="12" t="str">
        <x:v>Auto + Runtime có render</x:v>
      </x:c>
      <x:c r="F16" s="12" t="str">
        <x:v>S11</x:v>
      </x:c>
      <x:c r="G16" s="12" t="str">
        <x:v>G3/G7</x:v>
      </x:c>
      <x:c r="H16" s="12" t="str">
        <x:v>NOT_TESTED</x:v>
      </x:c>
      <x:c r="I16" t="str"/>
    </x:row>
    <x:row r="17" ht="70" customHeight="1">
      <x:c r="A17" s="12" t="str">
        <x:v>QA-013</x:v>
      </x:c>
      <x:c r="B17" s="12" t="str">
        <x:v>Cinematic</x:v>
      </x:c>
      <x:c r="C17" s="12" t="str">
        <x:v>Skip ở mỗi beat/đang fade/đổi scene</x:v>
      </x:c>
      <x:c r="D17" s="12" t="str">
        <x:v>Final flags đúng; unlock input; objective không mất</x:v>
      </x:c>
      <x:c r="E17" s="12" t="str">
        <x:v>Auto + Runtime có render</x:v>
      </x:c>
      <x:c r="F17" s="12" t="str">
        <x:v>S06</x:v>
      </x:c>
      <x:c r="G17" s="12" t="str">
        <x:v>G2/G7</x:v>
      </x:c>
      <x:c r="H17" s="12" t="str">
        <x:v>NOT_TESTED</x:v>
      </x:c>
      <x:c r="I17" t="str"/>
    </x:row>
    <x:row r="18" ht="70" customHeight="1">
      <x:c r="A18" s="12" t="str">
        <x:v>QA-014</x:v>
      </x:c>
      <x:c r="B18" s="12" t="str">
        <x:v>AI</x:v>
      </x:c>
      <x:c r="C18" s="12" t="str">
        <x:v>Player ở phase khác, núp, chạy tạo noise</x:v>
      </x:c>
      <x:c r="D18" s="12" t="str">
        <x:v>Phát hiện theo rule; có cue trước capture; không omniscience</x:v>
      </x:c>
      <x:c r="E18" s="12" t="str">
        <x:v>Auto + Runtime có render</x:v>
      </x:c>
      <x:c r="F18" s="12" t="str">
        <x:v>S08</x:v>
      </x:c>
      <x:c r="G18" s="12" t="str">
        <x:v>G2/G5</x:v>
      </x:c>
      <x:c r="H18" s="12" t="str">
        <x:v>NOT_TESTED</x:v>
      </x:c>
      <x:c r="I18" t="str"/>
    </x:row>
    <x:row r="19" ht="70" customHeight="1">
      <x:c r="A19" s="12" t="str">
        <x:v>QA-015</x:v>
      </x:c>
      <x:c r="B19" s="12" t="str">
        <x:v>AI</x:v>
      </x:c>
      <x:c r="C19" s="12" t="str">
        <x:v>Capture ngay sau checkpoint/switch/load</x:v>
      </x:c>
      <x:c r="D19" s="12" t="str">
        <x:v>Respawn an toàn; không mất essential clue; không spawn-capture loop</x:v>
      </x:c>
      <x:c r="E19" s="12" t="str">
        <x:v>Runtime có render</x:v>
      </x:c>
      <x:c r="F19" s="12" t="str">
        <x:v>S08</x:v>
      </x:c>
      <x:c r="G19" s="12" t="str">
        <x:v>G2/G7</x:v>
      </x:c>
      <x:c r="H19" s="12" t="str">
        <x:v>NOT_TESTED</x:v>
      </x:c>
      <x:c r="I19" t="str"/>
    </x:row>
    <x:row r="20" ht="70" customHeight="1">
      <x:c r="A20" s="12" t="str">
        <x:v>QA-016</x:v>
      </x:c>
      <x:c r="B20" s="12" t="str">
        <x:v>UI</x:v>
      </x:c>
      <x:c r="C20" s="12" t="str">
        <x:v>Pause/settings/quit/continue bằng pad và keyboard</x:v>
      </x:c>
      <x:c r="D20" s="12" t="str">
        <x:v>Focus không mất; Escape/back đúng; setting tồn tại sau restart</x:v>
      </x:c>
      <x:c r="E20" s="12" t="str">
        <x:v>Runtime có render</x:v>
      </x:c>
      <x:c r="F20" s="12" t="str">
        <x:v>S09</x:v>
      </x:c>
      <x:c r="G20" s="12" t="str">
        <x:v>G2/G6</x:v>
      </x:c>
      <x:c r="H20" s="12" t="str">
        <x:v>NOT_TESTED</x:v>
      </x:c>
      <x:c r="I20" t="str"/>
    </x:row>
    <x:row r="21" ht="70" customHeight="1">
      <x:c r="A21" s="12" t="str">
        <x:v>QA-017</x:v>
      </x:c>
      <x:c r="B21" s="12" t="str">
        <x:v>Input</x:v>
      </x:c>
      <x:c r="C21" s="12" t="str">
        <x:v>Rebind xung đột, hotplug pad, alt-tab</x:v>
      </x:c>
      <x:c r="D21" s="12" t="str">
        <x:v>Có đường reset; không khóa menu; prompt đổi đúng device</x:v>
      </x:c>
      <x:c r="E21" s="12" t="str">
        <x:v>Runtime có render</x:v>
      </x:c>
      <x:c r="F21" s="12" t="str">
        <x:v>S12</x:v>
      </x:c>
      <x:c r="G21" s="12" t="str">
        <x:v>G6</x:v>
      </x:c>
      <x:c r="H21" s="12" t="str">
        <x:v>NOT_TESTED</x:v>
      </x:c>
      <x:c r="I21" t="str"/>
    </x:row>
    <x:row r="22" ht="70" customHeight="1">
      <x:c r="A22" s="12" t="str">
        <x:v>QA-018</x:v>
      </x:c>
      <x:c r="B22" s="12" t="str">
        <x:v>Accessibility</x:v>
      </x:c>
      <x:c r="C22" s="12" t="str">
        <x:v>Giảm chớp/rung, tăng text, tắt âm</x:v>
      </x:c>
      <x:c r="D22" s="12" t="str">
        <x:v>Puzzle vẫn có cue hình và không chỉ bằng màu</x:v>
      </x:c>
      <x:c r="E22" s="12" t="str">
        <x:v>Runtime có render</x:v>
      </x:c>
      <x:c r="F22" s="12" t="str">
        <x:v>S09</x:v>
      </x:c>
      <x:c r="G22" s="12" t="str">
        <x:v>G6/G7</x:v>
      </x:c>
      <x:c r="H22" s="12" t="str">
        <x:v>NOT_TESTED</x:v>
      </x:c>
      <x:c r="I22" t="str"/>
    </x:row>
    <x:row r="23" ht="70" customHeight="1">
      <x:c r="A23" s="12" t="str">
        <x:v>QA-019</x:v>
      </x:c>
      <x:c r="B23" s="12" t="str">
        <x:v>Hub</x:v>
      </x:c>
      <x:c r="C23" s="12" t="str">
        <x:v>Qua chương rồi quay lại các zone đã unload</x:v>
      </x:c>
      <x:c r="D23" s="12" t="str">
        <x:v>House/flags/clues/puzzle tồn tại; không duplicate persistent ID</x:v>
      </x:c>
      <x:c r="E23" s="12" t="str">
        <x:v>Auto + Runtime có render</x:v>
      </x:c>
      <x:c r="F23" s="12" t="str">
        <x:v>S12</x:v>
      </x:c>
      <x:c r="G23" s="12" t="str">
        <x:v>G4/G7</x:v>
      </x:c>
      <x:c r="H23" s="12" t="str">
        <x:v>NOT_TESTED</x:v>
      </x:c>
      <x:c r="I23" t="str"/>
    </x:row>
    <x:row r="24" ht="70" customHeight="1">
      <x:c r="A24" s="12" t="str">
        <x:v>QA-020</x:v>
      </x:c>
      <x:c r="B24" s="12" t="str">
        <x:v>CH1</x:v>
      </x:c>
      <x:c r="C24" s="12" t="str">
        <x:v>P01/P02/M01 và lần đầu nhận đèn</x:v>
      </x:c>
      <x:c r="D24" s="12" t="str">
        <x:v>Chơi đủ full CH1, không kết thúc bằng demo end-card</x:v>
      </x:c>
      <x:c r="E24" s="12" t="str">
        <x:v>Runtime có render</x:v>
      </x:c>
      <x:c r="F24" s="12" t="str">
        <x:v>S25</x:v>
      </x:c>
      <x:c r="G24" s="12" t="str">
        <x:v>G4</x:v>
      </x:c>
      <x:c r="H24" s="12" t="str">
        <x:v>NOT_TESTED</x:v>
      </x:c>
      <x:c r="I24" t="str"/>
    </x:row>
    <x:row r="25" ht="70" customHeight="1">
      <x:c r="A25" s="12" t="str">
        <x:v>QA-021</x:v>
      </x:c>
      <x:c r="B25" s="12" t="str">
        <x:v>CH2</x:v>
      </x:c>
      <x:c r="C25" s="12" t="str">
        <x:v>P03/P04 + memory branch, load mọi puzzle state</x:v>
      </x:c>
      <x:c r="D25" s="12" t="str">
        <x:v>Missing-person reveal hợp lý; optional không khóa main</x:v>
      </x:c>
      <x:c r="E25" s="12" t="str">
        <x:v>Auto + Runtime có render</x:v>
      </x:c>
      <x:c r="F25" s="12" t="str">
        <x:v>S14</x:v>
      </x:c>
      <x:c r="G25" s="12" t="str">
        <x:v>G4</x:v>
      </x:c>
      <x:c r="H25" s="12" t="str">
        <x:v>NOT_TESTED</x:v>
      </x:c>
      <x:c r="I25" t="str"/>
    </x:row>
    <x:row r="26" ht="70" customHeight="1">
      <x:c r="A26" s="12" t="str">
        <x:v>QA-022</x:v>
      </x:c>
      <x:c r="B26" s="12" t="str">
        <x:v>CH3</x:v>
      </x:c>
      <x:c r="C26" s="12" t="str">
        <x:v>P05/P06 cầu/floor/valves, reverse traversal</x:v>
      </x:c>
      <x:c r="D26" s="12" t="str">
        <x:v>Switch trên cầu an toàn và solve order không softlock</x:v>
      </x:c>
      <x:c r="E26" s="12" t="str">
        <x:v>Auto + Runtime có render</x:v>
      </x:c>
      <x:c r="F26" s="12" t="str">
        <x:v>S16</x:v>
      </x:c>
      <x:c r="G26" s="12" t="str">
        <x:v>G4</x:v>
      </x:c>
      <x:c r="H26" s="12" t="str">
        <x:v>NOT_TESTED</x:v>
      </x:c>
      <x:c r="I26" t="str"/>
    </x:row>
    <x:row r="27" ht="70" customHeight="1">
      <x:c r="A27" s="12" t="str">
        <x:v>QA-023</x:v>
      </x:c>
      <x:c r="B27" s="12" t="str">
        <x:v>CH4</x:v>
      </x:c>
      <x:c r="C27" s="12" t="str">
        <x:v>P07/P08 hồ sơ/schedule/encounter</x:v>
      </x:c>
      <x:c r="D27" s="12" t="str">
        <x:v>Cue hình đủ khi mute; hồ sơ không bị AI xóa</x:v>
      </x:c>
      <x:c r="E27" s="12" t="str">
        <x:v>Auto + Runtime có render</x:v>
      </x:c>
      <x:c r="F27" s="12" t="str">
        <x:v>S18</x:v>
      </x:c>
      <x:c r="G27" s="12" t="str">
        <x:v>G4</x:v>
      </x:c>
      <x:c r="H27" s="12" t="str">
        <x:v>NOT_TESTED</x:v>
      </x:c>
      <x:c r="I27" t="str"/>
    </x:row>
    <x:row r="28" ht="70" customHeight="1">
      <x:c r="A28" s="12" t="str">
        <x:v>QA-024</x:v>
      </x:c>
      <x:c r="B28" s="12" t="str">
        <x:v>CH5</x:v>
      </x:c>
      <x:c r="C28" s="12" t="str">
        <x:v>P09/P10 letters/light routing</x:v>
      </x:c>
      <x:c r="D28" s="12" t="str">
        <x:v>State puzzle deterministic; không cần fluid/optics simulation</x:v>
      </x:c>
      <x:c r="E28" s="12" t="str">
        <x:v>Auto + Runtime có render</x:v>
      </x:c>
      <x:c r="F28" s="12" t="str">
        <x:v>S20</x:v>
      </x:c>
      <x:c r="G28" s="12" t="str">
        <x:v>G4</x:v>
      </x:c>
      <x:c r="H28" s="12" t="str">
        <x:v>NOT_TESTED</x:v>
      </x:c>
      <x:c r="I28" t="str"/>
    </x:row>
    <x:row r="29" ht="70" customHeight="1">
      <x:c r="A29" s="12" t="str">
        <x:v>QA-025</x:v>
      </x:c>
      <x:c r="B29" s="12" t="str">
        <x:v>CH6</x:v>
      </x:c>
      <x:c r="C29" s="12" t="str">
        <x:v>P11/P12 An reveal và escape</x:v>
      </x:c>
      <x:c r="D29" s="12" t="str">
        <x:v>Đường main mở được; timeline/cinematic không tự mâu thuẫn</x:v>
      </x:c>
      <x:c r="E29" s="12" t="str">
        <x:v>Auto + Runtime có render</x:v>
      </x:c>
      <x:c r="F29" s="12" t="str">
        <x:v>S22</x:v>
      </x:c>
      <x:c r="G29" s="12" t="str">
        <x:v>G4</x:v>
      </x:c>
      <x:c r="H29" s="12" t="str">
        <x:v>NOT_TESTED</x:v>
      </x:c>
      <x:c r="I29" t="str"/>
    </x:row>
    <x:row r="30" ht="70" customHeight="1">
      <x:c r="A30" s="12" t="str">
        <x:v>QA-026</x:v>
      </x:c>
      <x:c r="B30" s="12" t="str">
        <x:v>CH7</x:v>
      </x:c>
      <x:c r="C30" s="12" t="str">
        <x:v>P13/P14, ba nhóm NPC, flood beats</x:v>
      </x:c>
      <x:c r="D30" s="12" t="str">
        <x:v>Không stuck path; timer/cue công bằng; checkpoint trước choice</x:v>
      </x:c>
      <x:c r="E30" s="12" t="str">
        <x:v>Auto + Runtime có render</x:v>
      </x:c>
      <x:c r="F30" s="12" t="str">
        <x:v>S24</x:v>
      </x:c>
      <x:c r="G30" s="12" t="str">
        <x:v>G4</x:v>
      </x:c>
      <x:c r="H30" s="12" t="str">
        <x:v>NOT_TESTED</x:v>
      </x:c>
      <x:c r="I30" t="str"/>
    </x:row>
    <x:row r="31" ht="70" customHeight="1">
      <x:c r="A31" s="12" t="str">
        <x:v>QA-027</x:v>
      </x:c>
      <x:c r="B31" s="12" t="str">
        <x:v>Endings</x:v>
      </x:c>
      <x:c r="C31" s="12" t="str">
        <x:v>128 tổ hợp M01–M07 + flag An reveal</x:v>
      </x:c>
      <x:c r="D31" s="12" t="str">
        <x:v>A/B không khóa; C chỉ eligible khi đủ điều kiện; phải solve route</x:v>
      </x:c>
      <x:c r="E31" s="12" t="str">
        <x:v>Auto</x:v>
      </x:c>
      <x:c r="F31" s="12" t="str">
        <x:v>S25</x:v>
      </x:c>
      <x:c r="G31" s="12" t="str">
        <x:v>G4/G7</x:v>
      </x:c>
      <x:c r="H31" s="12" t="str">
        <x:v>NOT_TESTED</x:v>
      </x:c>
      <x:c r="I31" t="str"/>
    </x:row>
    <x:row r="32" ht="70" customHeight="1">
      <x:c r="A32" s="12" t="str">
        <x:v>QA-028</x:v>
      </x:c>
      <x:c r="B32" s="12" t="str">
        <x:v>Endings</x:v>
      </x:c>
      <x:c r="C32" s="12" t="str">
        <x:v>Chạy từ final checkpoint tới A/B/C + credits</x:v>
      </x:c>
      <x:c r="D32" s="12" t="str">
        <x:v>Đúng kết cục, không placeholder/cutscene thiếu; quay menu được</x:v>
      </x:c>
      <x:c r="E32" s="12" t="str">
        <x:v>Runtime có render</x:v>
      </x:c>
      <x:c r="F32" s="12" t="str">
        <x:v>S25</x:v>
      </x:c>
      <x:c r="G32" s="12" t="str">
        <x:v>G4/G7</x:v>
      </x:c>
      <x:c r="H32" s="12" t="str">
        <x:v>NOT_TESTED</x:v>
      </x:c>
      <x:c r="I32" t="str"/>
    </x:row>
    <x:row r="33" ht="70" customHeight="1">
      <x:c r="A33" s="12" t="str">
        <x:v>QA-029</x:v>
      </x:c>
      <x:c r="B33" s="12" t="str">
        <x:v>Campaign</x:v>
      </x:c>
      <x:c r="C33" s="12" t="str">
        <x:v>3 đường end-to-end trên fresh save + fixture</x:v>
      </x:c>
      <x:c r="D33" s="12" t="str">
        <x:v>Không progression blocker; inventory/story consistent</x:v>
      </x:c>
      <x:c r="E33" s="12" t="str">
        <x:v>Runtime có render</x:v>
      </x:c>
      <x:c r="F33" s="12" t="str">
        <x:v>S26</x:v>
      </x:c>
      <x:c r="G33" s="12" t="str">
        <x:v>G4/G5/G7</x:v>
      </x:c>
      <x:c r="H33" s="12" t="str">
        <x:v>NOT_TESTED</x:v>
      </x:c>
      <x:c r="I33" t="str"/>
    </x:row>
    <x:row r="34" ht="70" customHeight="1">
      <x:c r="A34" s="12" t="str">
        <x:v>QA-030</x:v>
      </x:c>
      <x:c r="B34" s="12" t="str">
        <x:v>Narrative</x:v>
      </x:c>
      <x:c r="C34" s="12" t="str">
        <x:v>Đọc canon/reveal/timeline so với thoại thực</x:v>
      </x:c>
      <x:c r="D34" s="12" t="str">
        <x:v>Giải thích nhớ trước đèn, điểm neo/aging; không còn contradiction blocker</x:v>
      </x:c>
      <x:c r="E34" s="12" t="str">
        <x:v>Runtime có render</x:v>
      </x:c>
      <x:c r="F34" s="12" t="str">
        <x:v>S01</x:v>
      </x:c>
      <x:c r="G34" s="12" t="str">
        <x:v>G0/G4</x:v>
      </x:c>
      <x:c r="H34" s="12" t="str">
        <x:v>NOT_TESTED</x:v>
      </x:c>
      <x:c r="I34" t="str"/>
    </x:row>
    <x:row r="35" ht="70" customHeight="1">
      <x:c r="A35" s="12" t="str">
        <x:v>QA-031</x:v>
      </x:c>
      <x:c r="B35" s="12" t="str">
        <x:v>Pacing</x:v>
      </x:c>
      <x:c r="C35" s="12" t="str">
        <x:v>Cohort Alpha không hướng dẫn, ghi thời gian/hints</x:v>
      </x:c>
      <x:c r="D35" s="12" t="str">
        <x:v>Nhận diện đoạn chán/khó; target4–6h được đo, không cưỡng kéo dài</x:v>
      </x:c>
      <x:c r="E35" s="12" t="str">
        <x:v>Runtime có render</x:v>
      </x:c>
      <x:c r="F35" s="12" t="str">
        <x:v>S28</x:v>
      </x:c>
      <x:c r="G35" s="12" t="str">
        <x:v>G5</x:v>
      </x:c>
      <x:c r="H35" s="12" t="str">
        <x:v>NOT_TESTED</x:v>
      </x:c>
      <x:c r="I35" t="str"/>
    </x:row>
    <x:row r="36" ht="70" customHeight="1">
      <x:c r="A36" s="12" t="str">
        <x:v>QA-032</x:v>
      </x:c>
      <x:c r="B36" s="12" t="str">
        <x:v>Localization</x:v>
      </x:c>
      <x:c r="C36" s="12" t="str">
        <x:v>Pseudo +30%, VI dấu, toàn EN, runtime switch</x:v>
      </x:c>
      <x:c r="D36" s="12" t="str">
        <x:v>Không lộ key/overflow; font và line break đúng</x:v>
      </x:c>
      <x:c r="E36" s="12" t="str">
        <x:v>Auto + Runtime có render</x:v>
      </x:c>
      <x:c r="F36" s="12" t="str">
        <x:v>S29</x:v>
      </x:c>
      <x:c r="G36" s="12" t="str">
        <x:v>G6</x:v>
      </x:c>
      <x:c r="H36" s="12" t="str">
        <x:v>NOT_TESTED</x:v>
      </x:c>
      <x:c r="I36" t="str"/>
    </x:row>
    <x:row r="37" ht="70" customHeight="1">
      <x:c r="A37" s="12" t="str">
        <x:v>QA-033</x:v>
      </x:c>
      <x:c r="B37" s="12" t="str">
        <x:v>Audio</x:v>
      </x:c>
      <x:c r="C37" s="12" t="str">
        <x:v>Mute, đổi phase/scene, pause/reload, hazard cues</x:v>
      </x:c>
      <x:c r="D37" s="12" t="str">
        <x:v>Bus mix không clip/che clue; cue hình thay âm; không loop âm sai phase</x:v>
      </x:c>
      <x:c r="E37" s="12" t="str">
        <x:v>Runtime có render</x:v>
      </x:c>
      <x:c r="F37" s="12" t="str">
        <x:v>S07</x:v>
      </x:c>
      <x:c r="G37" s="12" t="str">
        <x:v>G4/G7</x:v>
      </x:c>
      <x:c r="H37" s="12" t="str">
        <x:v>NOT_TESTED</x:v>
      </x:c>
      <x:c r="I37" t="str"/>
    </x:row>
    <x:row r="38" ht="70" customHeight="1">
      <x:c r="A38" s="12" t="str">
        <x:v>QA-034</x:v>
      </x:c>
      <x:c r="B38" s="12" t="str">
        <x:v>Performance</x:v>
      </x:c>
      <x:c r="C38" s="12" t="str">
        <x:v>Tuyến benchmark1080pMedium, profileCPU/GPU/switch</x:v>
      </x:c>
      <x:c r="D38" s="12" t="str">
        <x:v>Mục tiêu60FPS/P95&lt;=20ms trên hardware khóa; không công bố spec chưa đo</x:v>
      </x:c>
      <x:c r="E38" s="12" t="str">
        <x:v>Runtime có render</x:v>
      </x:c>
      <x:c r="F38" s="12" t="str">
        <x:v>S02</x:v>
      </x:c>
      <x:c r="G38" s="12" t="str">
        <x:v>G7</x:v>
      </x:c>
      <x:c r="H38" s="12" t="str">
        <x:v>NOT_TESTED</x:v>
      </x:c>
      <x:c r="I38" t="str"/>
    </x:row>
    <x:row r="39" ht="70" customHeight="1">
      <x:c r="A39" s="12" t="str">
        <x:v>QA-035</x:v>
      </x:c>
      <x:c r="B39" s="12" t="str">
        <x:v>Soak</x:v>
      </x:c>
      <x:c r="C39" s="12" t="str">
        <x:v>3 phiên dài, nhiều zone loads, save liên tục</x:v>
      </x:c>
      <x:c r="D39" s="12" t="str">
        <x:v>Không memory tăng vô hạn/crash/state leak; log tăng bất thường được triage</x:v>
      </x:c>
      <x:c r="E39" s="12" t="str">
        <x:v>Auto + Runtime có render</x:v>
      </x:c>
      <x:c r="F39" s="12" t="str">
        <x:v>S31</x:v>
      </x:c>
      <x:c r="G39" s="12" t="str">
        <x:v>G7</x:v>
      </x:c>
      <x:c r="H39" s="12" t="str">
        <x:v>NOT_TESTED</x:v>
      </x:c>
      <x:c r="I39" t="str"/>
    </x:row>
    <x:row r="40" ht="70" customHeight="1">
      <x:c r="A40" s="12" t="str">
        <x:v>QA-036</x:v>
      </x:c>
      <x:c r="B40" s="12" t="str">
        <x:v>Packaging</x:v>
      </x:c>
      <x:c r="C40" s="12" t="str">
        <x:v>Máy Windows sạch, offline, data/font chỉ trong build</x:v>
      </x:c>
      <x:c r="D40" s="12" t="str">
        <x:v>New/continue toàn game không cần editor/.blend/API network</x:v>
      </x:c>
      <x:c r="E40" s="12" t="str">
        <x:v>Runtime có render</x:v>
      </x:c>
      <x:c r="F40" s="12" t="str">
        <x:v>S09</x:v>
      </x:c>
      <x:c r="G40" s="12" t="str">
        <x:v>G7</x:v>
      </x:c>
      <x:c r="H40" s="12" t="str">
        <x:v>NOT_TESTED</x:v>
      </x:c>
      <x:c r="I40" t="str"/>
    </x:row>
    <x:row r="41" ht="70" customHeight="1">
      <x:c r="A41" s="12" t="str">
        <x:v>QA-037</x:v>
      </x:c>
      <x:c r="B41" s="12" t="str">
        <x:v>Platform</x:v>
      </x:c>
      <x:c r="C41" s="12" t="str">
        <x:v>Cài từ depot/public build, verify store assets/claims</x:v>
      </x:c>
      <x:c r="D41" s="12" t="str">
        <x:v>Đúng hash/build; advertised features có thật; đủ approvals</x:v>
      </x:c>
      <x:c r="E41" s="12" t="str">
        <x:v>Runtime có render</x:v>
      </x:c>
      <x:c r="F41" s="12" t="str">
        <x:v>S32</x:v>
      </x:c>
      <x:c r="G41" s="12" t="str">
        <x:v>G7/G8</x:v>
      </x:c>
      <x:c r="H41" s="12" t="str">
        <x:v>NOT_TESTED</x:v>
      </x:c>
      <x:c r="I41" t="str"/>
    </x:row>
    <x:row r="42" ht="70" customHeight="1">
      <x:c r="A42" s="12" t="str">
        <x:v>QA-038</x:v>
      </x:c>
      <x:c r="B42" s="12" t="str">
        <x:v>Patch</x:v>
      </x:c>
      <x:c r="C42" s="12" t="str">
        <x:v>Golden save từ1.0 lên patch, rollback drill</x:v>
      </x:c>
      <x:c r="D42" s="12" t="str">
        <x:v>Không mất slot; version/known issues đúng</x:v>
      </x:c>
      <x:c r="E42" s="12" t="str">
        <x:v>Auto + Runtime có render</x:v>
      </x:c>
      <x:c r="F42" s="12" t="str">
        <x:v>S33</x:v>
      </x:c>
      <x:c r="G42" s="12" t="str">
        <x:v>G7/G9</x:v>
      </x:c>
      <x:c r="H42" s="12" t="str">
        <x:v>NOT_TESTED</x:v>
      </x:c>
      <x:c r="I42" t="str"/>
    </x:row>
    <x:row r="43" ht="70" customHeight="1">
      <x:c r="A43" s="12" t="str">
        <x:v>QA-039</x:v>
      </x:c>
      <x:c r="B43" s="12" t="str">
        <x:v>Rights</x:v>
      </x:c>
      <x:c r="C43" s="12" t="str">
        <x:v>Kiểm tra từng asset/source/license/credits</x:v>
      </x:c>
      <x:c r="D43" s="12" t="str">
        <x:v>Không có unlicensed critical asset; source bàn giao đầy đủ</x:v>
      </x:c>
      <x:c r="E43" s="12" t="str">
        <x:v>Audit</x:v>
      </x:c>
      <x:c r="F43" s="12" t="str">
        <x:v>S11</x:v>
      </x:c>
      <x:c r="G43" s="12" t="str">
        <x:v>G7/G9</x:v>
      </x:c>
      <x:c r="H43" s="12" t="str">
        <x:v>NOT_TESTED</x:v>
      </x:c>
      <x:c r="I43" t="str"/>
    </x:row>
    <x:row r="44" ht="70" customHeight="1">
      <x:c r="A44" s="12" t="str">
        <x:v>QA-040</x:v>
      </x:c>
      <x:c r="B44" s="12" t="str">
        <x:v>Support</x:v>
      </x:c>
      <x:c r="C44" s="12" t="str">
        <x:v>Gửi bug report và export diagnostic tự nguyện</x:v>
      </x:c>
      <x:c r="D44" s="12" t="str">
        <x:v>Tối thiểu dữ liệu, có consent; support có owner; không thu PII ngầm</x:v>
      </x:c>
      <x:c r="E44" s="12" t="str">
        <x:v>Runtime có render</x:v>
      </x:c>
      <x:c r="F44" s="12" t="str">
        <x:v>S33</x:v>
      </x:c>
      <x:c r="G44" s="12" t="str">
        <x:v>G8/G9</x:v>
      </x:c>
      <x:c r="H44" s="12" t="str">
        <x:v>NOT_TESTED</x:v>
      </x:c>
      <x:c r="I44" t="str"/>
    </x:row>
    <x:row r="45">
      <x:c r="A45" t="str">
        <x:v>QA-041</x:v>
      </x:c>
      <x:c r="B45" t="str">
        <x:v>Puzzle3.1</x:v>
      </x:c>
      <x:c r="C45" t="str">
        <x:v>28 puzzle / 21 main / 7 secret</x:v>
      </x:c>
      <x:c r="D45" t="str">
        <x:v>Main không phụ thuộcSECRET; all28 wrong/order/load/revisit; reward sources đúng</x:v>
      </x:c>
      <x:c r="E45" t="str">
        <x:v>Engine + Rendered runtime + separate human usability</x:v>
      </x:c>
      <x:c r="F45" t="str">
        <x:v>S10</x:v>
      </x:c>
      <x:c r="G45" t="str">
        <x:v>G2/G4</x:v>
      </x:c>
      <x:c r="H45" t="str">
        <x:v>NOT_TESTED</x:v>
      </x:c>
      <x:c r="I45" t="str"/>
    </x:row>
    <x:row r="46">
      <x:c r="A46" t="str">
        <x:v>QA-042</x:v>
      </x:c>
      <x:c r="B46" t="str">
        <x:v>Closeup/inventory</x:v>
      </x:c>
      <x:c r="C46" t="str">
        <x:v>Inspect/combine/use và phase safety</x:v>
      </x:c>
      <x:c r="D46" t="str">
        <x:v>Keyboard/pad/mouse; no capture tại safe inspect; Warn/Chase chặn UI freeze; atomic recipe và reused item recovery</x:v>
      </x:c>
      <x:c r="E46" t="str">
        <x:v>Engine + Rendered runtime + separate human usability</x:v>
      </x:c>
      <x:c r="F46" t="str">
        <x:v>S07</x:v>
      </x:c>
      <x:c r="G46" t="str">
        <x:v>G2/G3</x:v>
      </x:c>
      <x:c r="H46" t="str">
        <x:v>NOT_TESTED</x:v>
      </x:c>
      <x:c r="I46" t="str"/>
    </x:row>
    <x:row r="47">
      <x:c r="A47" t="str">
        <x:v>QA-043</x:v>
      </x:c>
      <x:c r="B47" t="str">
        <x:v>Ending C3.1</x:v>
      </x:c>
      <x:c r="C47" t="str">
        <x:v>Plan → trial → validation → final commit</x:v>
      </x:c>
      <x:c r="D47" t="str">
        <x:v>P27 chỉplan; P28 đủ3nhómmớivalidated; khôngtimerkhiđọc; retrykhôngforcedB</x:v>
      </x:c>
      <x:c r="E47" t="str">
        <x:v>Engine + Rendered runtime + separate human usability</x:v>
      </x:c>
      <x:c r="F47" t="str">
        <x:v>S25</x:v>
      </x:c>
      <x:c r="G47" t="str">
        <x:v>G4/G7</x:v>
      </x:c>
      <x:c r="H47" t="str">
        <x:v>NOT_TESTED</x:v>
      </x:c>
      <x:c r="I47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7ba8912ca4442b6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9" hidden="0" customWidth="1"/>
    <x:col min="3" max="3" width="40" hidden="0" customWidth="1"/>
    <x:col min="4" max="4" width="25" hidden="0" customWidth="1"/>
    <x:col min="5" max="5" width="62" hidden="0" customWidth="1"/>
    <x:col min="6" max="6" width="16" hidden="0" customWidth="1"/>
  </x:cols>
  <x:sheetData>
    <x:row r="1" ht="36" customHeight="1">
      <x:c r="A1" s="3" t="str">
        <x:v>RISK REGISTER / agent execution</x:v>
      </x:c>
      <x:c r="B1" s="3"/>
      <x:c r="C1" s="3"/>
      <x:c r="D1" s="3"/>
      <x:c r="E1" s="3"/>
      <x:c r="F1" s="3"/>
    </x:row>
    <x:row r="2" ht="31" customHeight="1">
      <x:c r="A2" s="7" t="str">
        <x:v>Agent ghi blocker thực, fallback và điều kiện gỡ; không dùng blocker để tự cắt phạm vi.</x:v>
      </x:c>
      <x:c r="B2" s="7"/>
      <x:c r="C2" s="7"/>
      <x:c r="D2" s="7"/>
      <x:c r="E2" s="7"/>
      <x:c r="F2" s="7"/>
    </x:row>
    <x:row r="4" ht="32" customHeight="1">
      <x:c r="A4" s="18" t="str">
        <x:v>Risk ID</x:v>
      </x:c>
      <x:c r="B4" s="18" t="str">
        <x:v>Risk</x:v>
      </x:c>
      <x:c r="C4" s="18" t="str">
        <x:v>Trigger</x:v>
      </x:c>
      <x:c r="D4" s="18" t="str">
        <x:v>Mode responsible</x:v>
      </x:c>
      <x:c r="E4" s="18" t="str">
        <x:v>Mitigation</x:v>
      </x:c>
      <x:c r="F4" s="18" t="str">
        <x:v>Status</x:v>
      </x:c>
    </x:row>
    <x:row r="5" ht="67" customHeight="1">
      <x:c r="A5" s="12" t="str">
        <x:v>RK01</x:v>
      </x:c>
      <x:c r="B5" s="12" t="str">
        <x:v>Agent chỉ làm prototype rồi dừng</x:v>
      </x:c>
      <x:c r="C5" s="12" t="str">
        <x:v>Kết thúc ở G1/G2 dù scope còn</x:v>
      </x:c>
      <x:c r="D5" s="12" t="str">
        <x:v>ORCHESTRATOR</x:v>
      </x:c>
      <x:c r="E5" s="12" t="str">
        <x:v>Next-task loop, full-game gates, explicit no-demo DoD</x:v>
      </x:c>
      <x:c r="F5" s="12" t="str">
        <x:v>OPEN</x:v>
      </x:c>
    </x:row>
    <x:row r="6" ht="67" customHeight="1">
      <x:c r="A6" s="12" t="str">
        <x:v>RK02</x:v>
      </x:c>
      <x:c r="B6" s="12" t="str">
        <x:v>Thiếu Godot/render/Windows</x:v>
      </x:c>
      <x:c r="C6" s="12" t="str">
        <x:v>Probe thất bại hoặc chỉ headless</x:v>
      </x:c>
      <x:c r="D6" s="12" t="str">
        <x:v>ORCHESTRATOR</x:v>
      </x:c>
      <x:c r="E6" s="12" t="str">
        <x:v>Capability ledger; làm nhánh phù hợp, không giả runtime pass</x:v>
      </x:c>
      <x:c r="F6" s="12" t="str">
        <x:v>OPEN</x:v>
      </x:c>
    </x:row>
    <x:row r="7" ht="67" customHeight="1">
      <x:c r="A7" s="12" t="str">
        <x:v>RK03</x:v>
      </x:c>
      <x:c r="B7" s="12" t="str">
        <x:v>Art procedural không đạt</x:v>
      </x:c>
      <x:c r="C7" s="12" t="str">
        <x:v>Silhouette/rig/lighting không đọc được</x:v>
      </x:c>
      <x:c r="D7" s="12" t="str">
        <x:v>ART_AGENT</x:v>
      </x:c>
      <x:c r="E7" s="12" t="str">
        <x:v>Golden sample trong game, rerender/review, giữ source có thể sửa</x:v>
      </x:c>
      <x:c r="F7" s="12" t="str">
        <x:v>OPEN</x:v>
      </x:c>
    </x:row>
    <x:row r="8" ht="67" customHeight="1">
      <x:c r="A8" s="12" t="str">
        <x:v>RK04</x:v>
      </x:c>
      <x:c r="B8" s="12" t="str">
        <x:v>Audio/cue không kiểm thực</x:v>
      </x:c>
      <x:c r="C8" s="12" t="str">
        <x:v>Chỉ peak analysis, không mix capture</x:v>
      </x:c>
      <x:c r="D8" s="12" t="str">
        <x:v>AUDIO_AGENT</x:v>
      </x:c>
      <x:c r="E8" s="12" t="str">
        <x:v>Nghe/capture theo capability, captions, NOT_TESTED khi thiếu</x:v>
      </x:c>
      <x:c r="F8" s="12" t="str">
        <x:v>OPEN</x:v>
      </x:c>
    </x:row>
    <x:row r="9" ht="67" customHeight="1">
      <x:c r="A9" s="12" t="str">
        <x:v>RK05</x:v>
      </x:c>
      <x:c r="B9" s="12" t="str">
        <x:v>Canon/puzzle thay mỗi phiên</x:v>
      </x:c>
      <x:c r="C9" s="12" t="str">
        <x:v>Tên/luật/đáp án tự đổi</x:v>
      </x:c>
      <x:c r="D9" s="12" t="str">
        <x:v>NARRATIVE_AGENT</x:v>
      </x:c>
      <x:c r="E9" s="12" t="str">
        <x:v>Canon+14 specs+stable IDs và ADR</x:v>
      </x:c>
      <x:c r="F9" s="12" t="str">
        <x:v>OPEN</x:v>
      </x:c>
    </x:row>
    <x:row r="10" ht="67" customHeight="1">
      <x:c r="A10" s="12" t="str">
        <x:v>RK06</x:v>
      </x:c>
      <x:c r="B10" s="12" t="str">
        <x:v>False DONE / fake evidence</x:v>
      </x:c>
      <x:c r="C10" s="12" t="str">
        <x:v>Zero tests, template PASS, dummy artifact</x:v>
      </x:c>
      <x:c r="D10" s="12" t="str">
        <x:v>REVIEWER_AGENT</x:v>
      </x:c>
      <x:c r="E10" s="12" t="str">
        <x:v>Output/hash/checks + raw logs + explicit review, no fake harness</x:v>
      </x:c>
      <x:c r="F10" s="12" t="str">
        <x:v>OPEN</x:v>
      </x:c>
    </x:row>
    <x:row r="11" ht="67" customHeight="1">
      <x:c r="A11" s="12" t="str">
        <x:v>RK07</x:v>
      </x:c>
      <x:c r="B11" s="12" t="str">
        <x:v>Mất tiến độ sau context reset</x:v>
      </x:c>
      <x:c r="C11" s="12" t="str">
        <x:v>Phiên mới rebuild từ đầu</x:v>
      </x:c>
      <x:c r="D11" s="12" t="str">
        <x:v>ORCHESTRATOR</x:v>
      </x:c>
      <x:c r="E11" s="12" t="str">
        <x:v>Ledger + handoff + working-tree verify</x:v>
      </x:c>
      <x:c r="F11" s="12" t="str">
        <x:v>OPEN</x:v>
      </x:c>
    </x:row>
    <x:row r="12" ht="67" customHeight="1">
      <x:c r="A12" s="12" t="str">
        <x:v>RK08</x:v>
      </x:c>
      <x:c r="B12" s="12" t="str">
        <x:v>Concurrent agent conflict</x:v>
      </x:c>
      <x:c r="C12" s="12" t="str">
        <x:v>Nhiều writer shared files/ledger</x:v>
      </x:c>
      <x:c r="D12" s="12" t="str">
        <x:v>ORCHESTRATOR</x:v>
      </x:c>
      <x:c r="E12" s="12" t="str">
        <x:v>Sequential default, worktree file scope, ledger lock</x:v>
      </x:c>
      <x:c r="F12" s="12" t="str">
        <x:v>OPEN</x:v>
      </x:c>
    </x:row>
    <x:row r="13" ht="67" customHeight="1">
      <x:c r="A13" s="12" t="str">
        <x:v>RK09</x:v>
      </x:c>
      <x:c r="B13" s="12" t="str">
        <x:v>Save/world softlock nhân rộng</x:v>
      </x:c>
      <x:c r="C13" s="12" t="str">
        <x:v>Switch unsafe hoặc state không persist</x:v>
      </x:c>
      <x:c r="D13" s="12" t="str">
        <x:v>GAMEPLAY_AGENT</x:v>
      </x:c>
      <x:c r="E13" s="12" t="str">
        <x:v>G1/G3 hard gates, golden saves, rollback tests</x:v>
      </x:c>
      <x:c r="F13" s="12" t="str">
        <x:v>OPEN</x:v>
      </x:c>
    </x:row>
    <x:row r="14" ht="67" customHeight="1">
      <x:c r="A14" s="12" t="str">
        <x:v>RK10</x:v>
      </x:c>
      <x:c r="B14" s="12" t="str">
        <x:v>Asset license không rõ</x:v>
      </x:c>
      <x:c r="C14" s="12" t="str">
        <x:v>Nguồn chỉ ghi free/AI-generated</x:v>
      </x:c>
      <x:c r="D14" s="12" t="str">
        <x:v>RELEASE_AGENT</x:v>
      </x:c>
      <x:c r="E14" s="12" t="str">
        <x:v>Provenance/license audit; replace/block release</x:v>
      </x:c>
      <x:c r="F14" s="12" t="str">
        <x:v>OPEN</x:v>
      </x:c>
    </x:row>
    <x:row r="15" ht="67" customHeight="1">
      <x:c r="A15" s="12" t="str">
        <x:v>RK11</x:v>
      </x:c>
      <x:c r="B15" s="12" t="str">
        <x:v>Vượt quyền/chi phí</x:v>
      </x:c>
      <x:c r="C15" s="12" t="str">
        <x:v>Tự dùng API, publish, khai identity</x:v>
      </x:c>
      <x:c r="D15" s="12" t="str">
        <x:v>RELEASE_AGENT</x:v>
      </x:c>
      <x:c r="E15" s="12" t="str">
        <x:v>Spend 0 default, owner authorization scoped</x:v>
      </x:c>
      <x:c r="F15" s="12" t="str">
        <x:v>OPEN</x:v>
      </x:c>
    </x:row>
    <x:row r="16" ht="67" customHeight="1">
      <x:c r="A16" s="12" t="str">
        <x:v>RK12</x:v>
      </x:c>
      <x:c r="B16" s="12" t="str">
        <x:v>Headless FPS bị dùng làm GPU benchmark</x:v>
      </x:c>
      <x:c r="C16" s="12" t="str">
        <x:v>Thiếu render/hardware metadata</x:v>
      </x:c>
      <x:c r="D16" s="12" t="str">
        <x:v>QA_AGENT</x:v>
      </x:c>
      <x:c r="E16" s="12" t="str">
        <x:v>Performance native rendered only, fixed routes</x:v>
      </x:c>
      <x:c r="F16" s="12" t="str">
        <x:v>OPEN</x:v>
      </x:c>
    </x:row>
    <x:row r="17" ht="67" customHeight="1">
      <x:c r="A17" s="12" t="str">
        <x:v>RK13</x:v>
      </x:c>
      <x:c r="B17" s="12" t="str">
        <x:v>Bot data giả feedback người chơi</x:v>
      </x:c>
      <x:c r="C17" s="12" t="str">
        <x:v>Báo tám người thử từ tám profiles</x:v>
      </x:c>
      <x:c r="D17" s="12" t="str">
        <x:v>QA_AGENT</x:v>
      </x:c>
      <x:c r="E17" s="12" t="str">
        <x:v>Scenario coverage label; HUMAN_USABILITY_NOT_ASSESSED</x:v>
      </x:c>
      <x:c r="F17" s="12" t="str">
        <x:v>OPEN</x:v>
      </x:c>
    </x:row>
    <x:row r="18" ht="67" customHeight="1">
      <x:c r="A18" s="12" t="str">
        <x:v>RK14</x:v>
      </x:c>
      <x:c r="B18" s="12" t="str">
        <x:v>Generated views lệch canonical</x:v>
      </x:c>
      <x:c r="C18" s="12" t="str">
        <x:v>Excel được sửa như board thứ hai</x:v>
      </x:c>
      <x:c r="D18" s="12" t="str">
        <x:v>ORCHESTRATOR</x:v>
      </x:c>
      <x:c r="E18" s="12" t="str">
        <x:v>State JSON authoritative; views regenerate/snapshot tag</x:v>
      </x:c>
      <x:c r="F18" s="12" t="str">
        <x:v>OPEN</x:v>
      </x:c>
    </x:row>
    <x:row r="19" ht="67" customHeight="1">
      <x:c r="A19" s="12" t="str">
        <x:v>RK15</x:v>
      </x:c>
      <x:c r="B19" s="12" t="str">
        <x:v>Public blocker chặn sai phần local</x:v>
      </x:c>
      <x:c r="C19" s="12" t="str">
        <x:v>Chưa account nên dừng làm game</x:v>
      </x:c>
      <x:c r="D19" s="12" t="str">
        <x:v>ORCHESTRATOR</x:v>
      </x:c>
      <x:c r="E19" s="12" t="str">
        <x:v>Tách G7_TECH/G7_PUBLIC và external queue</x:v>
      </x:c>
      <x:c r="F19" s="12" t="str">
        <x:v>OPEN</x:v>
      </x:c>
    </x:row>
    <x:row r="20" ht="67" customHeight="1">
      <x:c r="A20" s="12" t="str">
        <x:v>RK16</x:v>
      </x:c>
      <x:c r="B20" s="12" t="str">
        <x:v>Chronological/calendar giả</x:v>
      </x:c>
      <x:c r="C20" s="12" t="str">
        <x:v>Dùng lại 72 tuần/2.958h cho AI</x:v>
      </x:c>
      <x:c r="D20" s="12" t="str">
        <x:v>ORCHESTRATOR</x:v>
      </x:c>
      <x:c r="E20" s="12" t="str">
        <x:v>Wave/complexity only; đo actual khi thật được cung cấp</x:v>
      </x:c>
      <x:c r="F20" s="12" t="str">
        <x:v>OPEN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fa2ace3fa474150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7" hidden="0" customWidth="1"/>
    <x:col min="3" max="3" width="75" hidden="0" customWidth="1"/>
    <x:col min="4" max="4" width="45" hidden="0" customWidth="1"/>
    <x:col min="5" max="5" width="18" hidden="0" customWidth="1"/>
  </x:cols>
  <x:sheetData>
    <x:row r="1" ht="36" customHeight="1">
      <x:c r="A1" s="3" t="str">
        <x:v>BOUNDARIES / external actions</x:v>
      </x:c>
      <x:c r="B1" s="3"/>
      <x:c r="C1" s="3"/>
      <x:c r="D1" s="3"/>
      <x:c r="E1" s="3"/>
    </x:row>
    <x:row r="2" ht="31" customHeight="1">
      <x:c r="A2" s="7" t="str">
        <x:v>Agent làm toàn bộ sản xuất; quyền tài khoản, chi tiền và phát hành không tự phát sinh từ tài liệu.</x:v>
      </x:c>
      <x:c r="B2" s="7"/>
      <x:c r="C2" s="7"/>
      <x:c r="D2" s="7"/>
      <x:c r="E2" s="7"/>
    </x:row>
    <x:row r="4" ht="32" customHeight="1">
      <x:c r="A4" s="18" t="str">
        <x:v>Operation</x:v>
      </x:c>
      <x:c r="B4" s="18" t="str">
        <x:v>Default</x:v>
      </x:c>
      <x:c r="C4" s="18" t="str">
        <x:v>Required behavior</x:v>
      </x:c>
      <x:c r="D4" s="18" t="str">
        <x:v>Source contract</x:v>
      </x:c>
      <x:c r="E4" s="18" t="str">
        <x:v>Owner needed</x:v>
      </x:c>
    </x:row>
    <x:row r="5" ht="70" customHeight="1">
      <x:c r="A5" s="12" t="str">
        <x:v>Local files / source</x:v>
      </x:c>
      <x:c r="B5" s="12" t="str">
        <x:v>ALLOWED_WITHIN_REPO</x:v>
      </x:c>
      <x:c r="C5" s="12" t="str">
        <x:v>Đọc trước khi sửa; không xóa dữ liệu có sẵn hoặc ghi ngoài phạm vi.</x:v>
      </x:c>
      <x:c r="D5" s="12" t="str">
        <x:v>AGENTS.md</x:v>
      </x:c>
      <x:c r="E5" s="12" t="str">
        <x:v>No</x:v>
      </x:c>
    </x:row>
    <x:row r="6" ht="70" customHeight="1">
      <x:c r="A6" s="12" t="str">
        <x:v>Install / download tools</x:v>
      </x:c>
      <x:c r="B6" s="12" t="str">
        <x:v>CAPABILITY_CHECK</x:v>
      </x:c>
      <x:c r="C6" s="12" t="str">
        <x:v>Ưu tiên công cụ có sẵn; xác minh nguồn và license; ghi version thực.</x:v>
      </x:c>
      <x:c r="D6" s="12" t="str">
        <x:v>10_ENVIRONMENT_AND_COMMANDS.md</x:v>
      </x:c>
      <x:c r="E6" s="12" t="str">
        <x:v>Depends</x:v>
      </x:c>
    </x:row>
    <x:row r="7" ht="70" customHeight="1">
      <x:c r="A7" s="12" t="str">
        <x:v>Paid APIs / assets</x:v>
      </x:c>
      <x:c r="B7" s="12" t="str">
        <x:v>DENIED_BY_DEFAULT</x:v>
      </x:c>
      <x:c r="C7" s="12" t="str">
        <x:v>Budget 0; chỉ dùng khi có authorization phạm vi và hạn mức.</x:v>
      </x:c>
      <x:c r="D7" s="12" t="str">
        <x:v>config/permissions.example.json</x:v>
      </x:c>
      <x:c r="E7" s="12" t="str">
        <x:v>Yes</x:v>
      </x:c>
    </x:row>
    <x:row r="8" ht="70" customHeight="1">
      <x:c r="A8" s="12" t="str">
        <x:v>Credentials / legal identity</x:v>
      </x:c>
      <x:c r="B8" s="12" t="str">
        <x:v>OWNER_SUPPLIED</x:v>
      </x:c>
      <x:c r="C8" s="12" t="str">
        <x:v>Không tự dựng danh tính, thông tin thanh toán hoặc chấp thuận pháp lý.</x:v>
      </x:c>
      <x:c r="D8" s="12" t="str">
        <x:v>12_RELEASE_AND_PERMISSIONS.md</x:v>
      </x:c>
      <x:c r="E8" s="12" t="str">
        <x:v>Yes</x:v>
      </x:c>
    </x:row>
    <x:row r="9" ht="70" customHeight="1">
      <x:c r="A9" s="12" t="str">
        <x:v>Private platform upload</x:v>
      </x:c>
      <x:c r="B9" s="12" t="str">
        <x:v>EXPLICIT_SCOPE</x:v>
      </x:c>
      <x:c r="C9" s="12" t="str">
        <x:v>Cần app ID, build hash, channel, operation được phép.</x:v>
      </x:c>
      <x:c r="D9" s="12" t="str">
        <x:v>templates/AUTHORIZATION.example.json</x:v>
      </x:c>
      <x:c r="E9" s="12" t="str">
        <x:v>Yes</x:v>
      </x:c>
    </x:row>
    <x:row r="10" ht="70" customHeight="1">
      <x:c r="A10" s="12" t="str">
        <x:v>Public publish / announcements</x:v>
      </x:c>
      <x:c r="B10" s="12" t="str">
        <x:v>DENIED_BY_DEFAULT</x:v>
      </x:c>
      <x:c r="C10" s="12" t="str">
        <x:v>Không đồng nhất build hoàn tất với quyền public.</x:v>
      </x:c>
      <x:c r="D10" s="12" t="str">
        <x:v>12_RELEASE_AND_PERMISSIONS.md</x:v>
      </x:c>
      <x:c r="E10" s="12" t="str">
        <x:v>Yes</x:v>
      </x:c>
    </x:row>
    <x:row r="11" ht="70" customHeight="1">
      <x:c r="A11" s="12" t="str">
        <x:v>Target hardware verification</x:v>
      </x:c>
      <x:c r="B11" s="12" t="str">
        <x:v>CAPABILITY_CHECK</x:v>
      </x:c>
      <x:c r="C11" s="12" t="str">
        <x:v>Không suy ra Windows native / physical gamepad từ headless / virtual input.</x:v>
      </x:c>
      <x:c r="D11" s="12" t="str">
        <x:v>05_QA_RELEASE_AND_HYPERCARE.md</x:v>
      </x:c>
      <x:c r="E11" s="12" t="str">
        <x:v>Depends</x:v>
      </x:c>
    </x:row>
    <x:row r="12" ht="70" customHeight="1">
      <x:c r="A12" s="12" t="str">
        <x:v>Continuous background execution</x:v>
      </x:c>
      <x:c r="B12" s="12" t="str">
        <x:v>NOT_PROVIDED</x:v>
      </x:c>
      <x:c r="C12" s="12" t="str">
        <x:v>Gói không có daemon; agent thực thi trong môi trường và phiên thực có sẵn.</x:v>
      </x:c>
      <x:c r="D12" s="12" t="str">
        <x:v>START_HERE.md</x:v>
      </x:c>
      <x:c r="E12" s="12" t="str">
        <x:v>No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608b40221804575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75" hidden="0" customWidth="1"/>
    <x:col min="4" max="4" width="15" hidden="0" customWidth="1"/>
    <x:col min="5" max="5" width="60" hidden="0" customWidth="1"/>
  </x:cols>
  <x:sheetData>
    <x:row r="1" ht="36" customHeight="1">
      <x:c r="A1" s="3" t="str">
        <x:v>SOURCES / official technical references</x:v>
      </x:c>
      <x:c r="B1" s="3"/>
      <x:c r="C1" s="3"/>
      <x:c r="D1" s="3"/>
      <x:c r="E1" s="3"/>
    </x:row>
    <x:row r="2" ht="31" customHeight="1">
      <x:c r="A2" s="7" t="str">
        <x:v>Ghi nguồn của quyết định kỹ thuật; agent kiểm lại tài liệu theo phiên bản thực tế được pin.</x:v>
      </x:c>
      <x:c r="B2" s="7"/>
      <x:c r="C2" s="7"/>
      <x:c r="D2" s="7"/>
      <x:c r="E2" s="7"/>
    </x:row>
    <x:row r="4" ht="32" customHeight="1">
      <x:c r="A4" s="18" t="str">
        <x:v>Source</x:v>
      </x:c>
      <x:c r="B4" s="18" t="str">
        <x:v>Title</x:v>
      </x:c>
      <x:c r="C4" s="18" t="str">
        <x:v>URL</x:v>
      </x:c>
      <x:c r="D4" s="18" t="str">
        <x:v>Checked</x:v>
      </x:c>
      <x:c r="E4" s="18" t="str">
        <x:v>Usage</x:v>
      </x:c>
    </x:row>
    <x:row r="5" ht="62" customHeight="1">
      <x:c r="A5" s="12" t="str">
        <x:v>SRC01</x:v>
      </x:c>
      <x:c r="B5" s="12" t="str">
        <x:v>Godot archive</x:v>
      </x:c>
      <x:c r="C5" s="12" t="str">
        <x:v>https://godotengine.org/download/archive/</x:v>
      </x:c>
      <x:c r="D5" s="12" t="str">
        <x:v>2026-10-18</x:v>
      </x:c>
      <x:c r="E5" s="12" t="str">
        <x:v>Pin 4.7.2 stable đã đối chiếu; không khẳng định binary đã có trong máy agent.</x:v>
      </x:c>
    </x:row>
    <x:row r="6" ht="62" customHeight="1">
      <x:c r="A6" s="12" t="str">
        <x:v>SRC02</x:v>
      </x:c>
      <x:c r="B6" s="12" t="str">
        <x:v>Available 3D formats</x:v>
      </x:c>
      <x:c r="C6" s="12" t="str">
        <x:v>https://docs.godotengine.org/en/stable/tutorials/assets_pipeline/importing_3d_scenes/available_formats.html</x:v>
      </x:c>
      <x:c r="D6" s="12" t="str">
        <x:v>2026-10-18</x:v>
      </x:c>
      <x:c r="E6" s="12" t="str">
        <x:v>GLB/glTF pipeline và source format.</x:v>
      </x:c>
    </x:row>
    <x:row r="7" ht="62" customHeight="1">
      <x:c r="A7" s="12" t="str">
        <x:v>SRC03</x:v>
      </x:c>
      <x:c r="B7" s="12" t="str">
        <x:v>Exporting projects</x:v>
      </x:c>
      <x:c r="C7" s="12" t="str">
        <x:v>https://docs.godotengine.org/en/stable/tutorials/export/exporting_projects.html</x:v>
      </x:c>
      <x:c r="D7" s="12" t="str">
        <x:v>2026-10-18</x:v>
      </x:c>
      <x:c r="E7" s="12" t="str">
        <x:v>Export presets/templates/filters; agent kiểm lại theo pin.</x:v>
      </x:c>
    </x:row>
    <x:row r="8" ht="62" customHeight="1">
      <x:c r="A8" s="12" t="str">
        <x:v>SRC04</x:v>
      </x:c>
      <x:c r="B8" s="12" t="str">
        <x:v>Saving games</x:v>
      </x:c>
      <x:c r="C8" s="12" t="str">
        <x:v>https://docs.godotengine.org/en/stable/tutorials/io/saving_games.html</x:v>
      </x:c>
      <x:c r="D8" s="12" t="str">
        <x:v>2026-10-18</x:v>
      </x:c>
      <x:c r="E8" s="12" t="str">
        <x:v>File/serialization cơ sở; atomic recovery/schema là contract dự án, phải tự test.</x:v>
      </x:c>
    </x:row>
    <x:row r="9" ht="62" customHeight="1">
      <x:c r="A9" s="12" t="str">
        <x:v>SRC05</x:v>
      </x:c>
      <x:c r="B9" s="12" t="str">
        <x:v>Internationalizing games</x:v>
      </x:c>
      <x:c r="C9" s="12" t="str">
        <x:v>https://docs.godotengine.org/en/stable/tutorials/i18n/internationalizing_games.html</x:v>
      </x:c>
      <x:c r="D9" s="12" t="str">
        <x:v>2026-10-18</x:v>
      </x:c>
      <x:c r="E9" s="12" t="str">
        <x:v>Localization keys/catalog; LQA là công việc dự án.</x:v>
      </x:c>
    </x:row>
    <x:row r="10" ht="62" customHeight="1">
      <x:c r="A10" s="12" t="str">
        <x:v>SRC06</x:v>
      </x:c>
      <x:c r="B10" s="12" t="str">
        <x:v>Steam release process</x:v>
      </x:c>
      <x:c r="C10" s="12" t="str">
        <x:v>https://partner.steamgames.com/doc/store/releasing</x:v>
      </x:c>
      <x:c r="D10" s="12" t="str">
        <x:v>2026-10-18</x:v>
      </x:c>
      <x:c r="E10" s="12" t="str">
        <x:v>Store/build review, Coming Soon và quyền release; recheck current account.</x:v>
      </x:c>
    </x:row>
    <x:row r="11" ht="62" customHeight="1">
      <x:c r="A11" s="12" t="str">
        <x:v>SRC07</x:v>
      </x:c>
      <x:c r="B11" s="12" t="str">
        <x:v>PhysicsDirectSpaceState3D</x:v>
      </x:c>
      <x:c r="C11" s="12" t="str">
        <x:v>https://docs.godotengine.org/en/stable/classes/class_physicsdirectspacestate3d.html</x:v>
      </x:c>
      <x:c r="D11" s="12" t="str">
        <x:v>2026-10-18</x:v>
      </x:c>
      <x:c r="E11" s="12" t="str">
        <x:v>Target-world physics query APIs; không chứng minh SwitchSafety implementation.</x:v>
      </x:c>
    </x:row>
    <x:row r="12" ht="62" customHeight="1">
      <x:c r="A12" s="12" t="str">
        <x:v>SRC08</x:v>
      </x:c>
      <x:c r="B12" s="12" t="str">
        <x:v>Godot command line tutorial</x:v>
      </x:c>
      <x:c r="C12" s="12" t="str">
        <x:v>https://docs.godotengine.org/en/stable/tutorials/editor/command_line_tutorial.html</x:v>
      </x:c>
      <x:c r="D12" s="12" t="str">
        <x:v>2026-10-18</x:v>
      </x:c>
      <x:c r="E12" s="12" t="str">
        <x:v>--import, --script, --export-release; --test không phải game test suite.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357251954be4b6b"/>
  </x:tableParts>
</x:worksheet>
</file>